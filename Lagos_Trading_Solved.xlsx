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Cover" sheetId="1" state="visible" r:id="rId1"/>
    <sheet name="Model" sheetId="2" state="visible" r:id="rId2"/>
    <sheet name="Model-R" sheetId="3" state="veryHidden" r:id="rId3"/>
  </sheets>
  <definedNames>
    <definedName name="_xlnm.Print_Area" localSheetId="0">'Cover'!$B$2:$M$39</definedName>
    <definedName name="_xlnm.Print_Area" localSheetId="1">'Model'!$B$3:$N$45</definedName>
    <definedName name="_xlnm.Print_Area" localSheetId="2">'Model-R'!$B$3:$N$44</definedName>
  </definedNames>
  <calcPr calcId="191029" fullCalcOnLoad="1" iterate="1"/>
</workbook>
</file>

<file path=xl/styles.xml><?xml version="1.0" encoding="utf-8"?>
<styleSheet xmlns="http://schemas.openxmlformats.org/spreadsheetml/2006/main">
  <numFmts count="11">
    <numFmt numFmtId="164" formatCode="_(#,##0_)_%;\(#,##0\)_%;_(&quot;–&quot;_)_%;_(@_)_%"/>
    <numFmt numFmtId="165" formatCode="_-* #,##0_-;\(#,##0\)_-;_-* &quot;-&quot;_-;_-@_-"/>
    <numFmt numFmtId="166" formatCode="#,##0_);[Red]\(#,##0\);\-"/>
    <numFmt numFmtId="167" formatCode="0&quot;A&quot;"/>
    <numFmt numFmtId="168" formatCode="_(#,##0_);\(#,##0\);_(&quot;–&quot;_);_(@_)"/>
    <numFmt numFmtId="169" formatCode="0.0%"/>
    <numFmt numFmtId="170" formatCode="#,##0_);\(#,##0\);\-"/>
    <numFmt numFmtId="171" formatCode="_(#,##0_);\(#,##0\);_(&quot;–&quot;\)"/>
    <numFmt numFmtId="172" formatCode="[=1]&quot;☑️&quot;_);[=0]&quot;⬜&quot;_)"/>
    <numFmt numFmtId="173" formatCode="@\⁽\¹\⁾"/>
    <numFmt numFmtId="174" formatCode="_-* #,##0.00_-;\-* #,##0.00_-;_-* &quot;-&quot;??_-;_-@_-"/>
  </numFmts>
  <fonts count="34">
    <font>
      <name val="Calibri"/>
      <family val="2"/>
      <color theme="1"/>
      <sz val="11"/>
      <scheme val="minor"/>
    </font>
    <font>
      <name val="Open sans"/>
      <family val="2"/>
      <color theme="1"/>
      <sz val="11"/>
    </font>
    <font>
      <name val="Open Sans"/>
      <family val="2"/>
      <color theme="1"/>
      <sz val="10"/>
    </font>
    <font>
      <name val="Calibri"/>
      <family val="2"/>
      <color theme="1"/>
      <sz val="11"/>
      <scheme val="minor"/>
    </font>
    <font>
      <name val="Open Sans"/>
      <family val="2"/>
      <color theme="0"/>
      <sz val="10"/>
    </font>
    <font>
      <name val="Arial"/>
      <family val="2"/>
      <color theme="10"/>
      <sz val="10"/>
      <u val="single"/>
    </font>
    <font>
      <name val="Bookman"/>
      <family val="1"/>
      <sz val="10"/>
    </font>
    <font>
      <name val="Open Sans"/>
      <family val="2"/>
      <b val="1"/>
      <color rgb="FF4472C4"/>
      <sz val="20"/>
    </font>
    <font>
      <name val="Open Sans"/>
      <family val="2"/>
      <b val="1"/>
      <color rgb="FF132E57"/>
      <sz val="14"/>
    </font>
    <font>
      <name val="Open Sans"/>
      <family val="2"/>
      <b val="1"/>
      <color theme="1"/>
      <sz val="11"/>
    </font>
    <font>
      <name val="Open Sans"/>
      <family val="2"/>
      <color rgb="FF002060"/>
      <sz val="10"/>
    </font>
    <font>
      <name val="Open Sans"/>
      <family val="2"/>
      <color theme="1"/>
      <sz val="12"/>
    </font>
    <font>
      <name val="Open Sans"/>
      <family val="2"/>
      <b val="1"/>
      <color theme="0"/>
      <sz val="12"/>
    </font>
    <font>
      <name val="Open Sans"/>
      <family val="2"/>
      <color theme="0"/>
      <sz val="11"/>
    </font>
    <font>
      <name val="Calibri"/>
      <family val="2"/>
      <color theme="10"/>
      <sz val="11"/>
      <u val="single"/>
      <scheme val="minor"/>
    </font>
    <font>
      <name val="Open Sans"/>
      <family val="2"/>
      <color theme="10"/>
      <sz val="12"/>
      <u val="single"/>
    </font>
    <font>
      <name val="Open Sans"/>
      <family val="2"/>
      <color theme="10"/>
      <sz val="10"/>
      <u val="single"/>
    </font>
    <font>
      <name val="Open Sans"/>
      <family val="2"/>
      <sz val="10"/>
    </font>
    <font>
      <name val="Open Sans"/>
      <family val="2"/>
      <b val="1"/>
      <color theme="0"/>
      <sz val="10"/>
    </font>
    <font>
      <name val="Open Sans"/>
      <family val="2"/>
      <i val="1"/>
      <color theme="1"/>
      <sz val="10"/>
    </font>
    <font>
      <name val="Open Sans"/>
      <family val="2"/>
      <color rgb="FFFF0000"/>
      <sz val="10"/>
    </font>
    <font>
      <name val="Open Sans"/>
      <family val="2"/>
      <b val="1"/>
      <color rgb="FF3271D2"/>
      <sz val="14"/>
    </font>
    <font>
      <name val="Open Sans"/>
      <family val="2"/>
      <b val="1"/>
      <color rgb="FF3271D2"/>
      <sz val="10"/>
    </font>
    <font>
      <name val="Open Sans"/>
      <family val="2"/>
      <b val="1"/>
      <color rgb="FF0000FF"/>
      <sz val="10"/>
    </font>
    <font>
      <name val="Open Sans"/>
      <family val="2"/>
      <b val="1"/>
      <color rgb="FF000000"/>
      <sz val="10"/>
    </font>
    <font>
      <name val="Open Sans"/>
      <family val="2"/>
      <b val="1"/>
      <color theme="1"/>
      <sz val="10"/>
    </font>
    <font>
      <name val="Open Sans"/>
      <family val="2"/>
      <color rgb="FF3271D2"/>
      <sz val="10"/>
    </font>
    <font>
      <name val="Open Sans"/>
      <family val="2"/>
      <color rgb="FF000000"/>
      <sz val="10"/>
    </font>
    <font>
      <name val="Open Sans"/>
      <family val="2"/>
      <i val="1"/>
      <color rgb="FFFF0000"/>
      <sz val="10"/>
    </font>
    <font>
      <name val="Open Sans"/>
      <family val="2"/>
      <i val="1"/>
      <sz val="10"/>
    </font>
    <font>
      <name val="Calibri"/>
      <family val="2"/>
      <i val="1"/>
      <color theme="1"/>
      <sz val="11"/>
      <scheme val="minor"/>
    </font>
    <font>
      <name val="Arial Narrow"/>
      <family val="2"/>
      <color theme="1"/>
      <sz val="11"/>
    </font>
    <font>
      <name val="Open Sans"/>
      <family val="2"/>
      <color rgb="FFBF7914"/>
      <sz val="8"/>
    </font>
    <font>
      <name val="Open Sans"/>
      <family val="2"/>
      <b val="1"/>
      <color rgb="FF947131"/>
      <sz val="10"/>
    </font>
  </fonts>
  <fills count="6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F2FF"/>
        <bgColor rgb="FF000000"/>
      </patternFill>
    </fill>
    <fill>
      <patternFill patternType="solid">
        <fgColor rgb="FF000C3F"/>
        <bgColor rgb="FF000000"/>
      </patternFill>
    </fill>
    <fill>
      <patternFill patternType="solid">
        <fgColor rgb="FFF6F6F6"/>
        <bgColor rgb="FF000000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ck">
        <color rgb="FF132E57"/>
      </left>
      <right/>
      <top style="thick">
        <color rgb="FF132E57"/>
      </top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thick">
        <color rgb="FF132E57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 style="thick">
        <color rgb="FF132E57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7">
    <xf numFmtId="0" fontId="3" fillId="0" borderId="0"/>
    <xf numFmtId="0" fontId="5" fillId="0" borderId="0"/>
    <xf numFmtId="0" fontId="5" fillId="0" borderId="0"/>
    <xf numFmtId="0" fontId="3" fillId="0" borderId="0"/>
    <xf numFmtId="174" fontId="6" fillId="0" borderId="0"/>
    <xf numFmtId="0" fontId="14" fillId="0" borderId="0"/>
    <xf numFmtId="0" fontId="31" fillId="0" borderId="0"/>
  </cellStyleXfs>
  <cellXfs count="111">
    <xf numFmtId="0" fontId="0" fillId="0" borderId="0" pivotButton="0" quotePrefix="0" xfId="0"/>
    <xf numFmtId="0" fontId="7" fillId="0" borderId="0" applyProtection="1" pivotButton="0" quotePrefix="0" xfId="3">
      <protection locked="0" hidden="0"/>
    </xf>
    <xf numFmtId="0" fontId="8" fillId="0" borderId="0" applyAlignment="1" pivotButton="0" quotePrefix="0" xfId="3">
      <alignment horizontal="right"/>
    </xf>
    <xf numFmtId="0" fontId="9" fillId="0" borderId="0" pivotButton="0" quotePrefix="0" xfId="3"/>
    <xf numFmtId="0" fontId="8" fillId="0" borderId="1" applyProtection="1" pivotButton="0" quotePrefix="0" xfId="3">
      <protection locked="0" hidden="0"/>
    </xf>
    <xf numFmtId="0" fontId="2" fillId="0" borderId="0" pivotButton="0" quotePrefix="0" xfId="3"/>
    <xf numFmtId="0" fontId="10" fillId="0" borderId="0" applyProtection="1" pivotButton="0" quotePrefix="0" xfId="1">
      <protection locked="0" hidden="0"/>
    </xf>
    <xf numFmtId="164" fontId="11" fillId="0" borderId="0" pivotButton="0" quotePrefix="0" xfId="3"/>
    <xf numFmtId="0" fontId="2" fillId="0" borderId="0" pivotButton="0" quotePrefix="0" xfId="2"/>
    <xf numFmtId="0" fontId="12" fillId="2" borderId="0" pivotButton="0" quotePrefix="0" xfId="3"/>
    <xf numFmtId="0" fontId="2" fillId="2" borderId="0" pivotButton="0" quotePrefix="0" xfId="3"/>
    <xf numFmtId="164" fontId="13" fillId="2" borderId="0" pivotButton="0" quotePrefix="0" xfId="3"/>
    <xf numFmtId="0" fontId="4" fillId="2" borderId="0" pivotButton="0" quotePrefix="0" xfId="3"/>
    <xf numFmtId="0" fontId="1" fillId="0" borderId="0" pivotButton="0" quotePrefix="0" xfId="3"/>
    <xf numFmtId="0" fontId="1" fillId="0" borderId="7" pivotButton="0" quotePrefix="0" xfId="3"/>
    <xf numFmtId="0" fontId="1" fillId="0" borderId="8" pivotButton="0" quotePrefix="0" xfId="3"/>
    <xf numFmtId="0" fontId="1" fillId="0" borderId="0" applyProtection="1" pivotButton="0" quotePrefix="0" xfId="3">
      <protection locked="0" hidden="0"/>
    </xf>
    <xf numFmtId="164" fontId="15" fillId="0" borderId="0" applyProtection="1" pivotButton="0" quotePrefix="0" xfId="5">
      <protection locked="0" hidden="0"/>
    </xf>
    <xf numFmtId="0" fontId="1" fillId="0" borderId="0" pivotButton="0" quotePrefix="0" xfId="0"/>
    <xf numFmtId="164" fontId="16" fillId="0" borderId="0" pivotButton="0" quotePrefix="0" xfId="1"/>
    <xf numFmtId="0" fontId="1" fillId="0" borderId="9" pivotButton="0" quotePrefix="0" xfId="3"/>
    <xf numFmtId="0" fontId="1" fillId="0" borderId="10" pivotButton="0" quotePrefix="0" xfId="3"/>
    <xf numFmtId="0" fontId="1" fillId="0" borderId="11" pivotButton="0" quotePrefix="0" xfId="3"/>
    <xf numFmtId="0" fontId="17" fillId="0" borderId="0" pivotButton="0" quotePrefix="0" xfId="0"/>
    <xf numFmtId="0" fontId="2" fillId="0" borderId="0" pivotButton="0" quotePrefix="0" xfId="0"/>
    <xf numFmtId="165" fontId="2" fillId="0" borderId="0" applyProtection="1" pivotButton="0" quotePrefix="0" xfId="4">
      <protection locked="0" hidden="0"/>
    </xf>
    <xf numFmtId="165" fontId="19" fillId="0" borderId="0" applyProtection="1" pivotButton="0" quotePrefix="0" xfId="4">
      <protection locked="0" hidden="0"/>
    </xf>
    <xf numFmtId="165" fontId="19" fillId="0" borderId="0" applyAlignment="1" applyProtection="1" pivotButton="0" quotePrefix="0" xfId="4">
      <alignment horizontal="center"/>
      <protection locked="0" hidden="0"/>
    </xf>
    <xf numFmtId="165" fontId="19" fillId="0" borderId="0" applyAlignment="1" pivotButton="0" quotePrefix="0" xfId="4">
      <alignment horizontal="right"/>
    </xf>
    <xf numFmtId="0" fontId="20" fillId="0" borderId="0" applyAlignment="1" pivotButton="0" quotePrefix="0" xfId="0">
      <alignment horizontal="left"/>
    </xf>
    <xf numFmtId="37" fontId="2" fillId="0" borderId="0" applyAlignment="1" pivotButton="0" quotePrefix="0" xfId="0">
      <alignment vertical="center"/>
    </xf>
    <xf numFmtId="0" fontId="2" fillId="0" borderId="2" pivotButton="0" quotePrefix="0" xfId="0"/>
    <xf numFmtId="166" fontId="17" fillId="0" borderId="0" pivotButton="0" quotePrefix="0" xfId="0"/>
    <xf numFmtId="37" fontId="23" fillId="0" borderId="0" applyAlignment="1" pivotButton="0" quotePrefix="0" xfId="0">
      <alignment vertical="center"/>
    </xf>
    <xf numFmtId="37" fontId="18" fillId="0" borderId="0" applyAlignment="1" pivotButton="0" quotePrefix="0" xfId="0">
      <alignment vertical="center"/>
    </xf>
    <xf numFmtId="37" fontId="4" fillId="0" borderId="0" applyAlignment="1" pivotButton="0" quotePrefix="0" xfId="0">
      <alignment vertical="center"/>
    </xf>
    <xf numFmtId="167" fontId="18" fillId="0" borderId="0" applyAlignment="1" pivotButton="0" quotePrefix="0" xfId="0">
      <alignment horizontal="right"/>
    </xf>
    <xf numFmtId="0" fontId="24" fillId="0" borderId="0" applyAlignment="1" pivotButton="0" quotePrefix="0" xfId="0">
      <alignment horizontal="left"/>
    </xf>
    <xf numFmtId="0" fontId="25" fillId="0" borderId="0" pivotButton="0" quotePrefix="0" xfId="0"/>
    <xf numFmtId="168" fontId="26" fillId="0" borderId="0" pivotButton="0" quotePrefix="0" xfId="0"/>
    <xf numFmtId="0" fontId="27" fillId="0" borderId="0" pivotButton="0" quotePrefix="0" xfId="0"/>
    <xf numFmtId="0" fontId="20" fillId="0" borderId="0" pivotButton="0" quotePrefix="0" xfId="0"/>
    <xf numFmtId="169" fontId="20" fillId="0" borderId="0" pivotButton="0" quotePrefix="0" xfId="0"/>
    <xf numFmtId="170" fontId="27" fillId="0" borderId="0" pivotButton="0" quotePrefix="0" xfId="0"/>
    <xf numFmtId="170" fontId="28" fillId="0" borderId="0" applyAlignment="1" pivotButton="0" quotePrefix="0" xfId="0">
      <alignment horizontal="centerContinuous"/>
    </xf>
    <xf numFmtId="168" fontId="17" fillId="0" borderId="2" pivotButton="0" quotePrefix="0" xfId="0"/>
    <xf numFmtId="0" fontId="17" fillId="0" borderId="2" pivotButton="0" quotePrefix="0" xfId="0"/>
    <xf numFmtId="0" fontId="27" fillId="0" borderId="2" pivotButton="0" quotePrefix="0" xfId="0"/>
    <xf numFmtId="0" fontId="29" fillId="0" borderId="2" applyAlignment="1" pivotButton="0" quotePrefix="0" xfId="0">
      <alignment horizontal="center"/>
    </xf>
    <xf numFmtId="170" fontId="27" fillId="0" borderId="2" pivotButton="0" quotePrefix="0" xfId="0"/>
    <xf numFmtId="0" fontId="2" fillId="0" borderId="0" applyAlignment="1" pivotButton="0" quotePrefix="0" xfId="0">
      <alignment horizontal="left" indent="1"/>
    </xf>
    <xf numFmtId="0" fontId="17" fillId="0" borderId="0" applyAlignment="1" pivotButton="0" quotePrefix="0" xfId="0">
      <alignment horizontal="left" indent="1"/>
    </xf>
    <xf numFmtId="0" fontId="2" fillId="0" borderId="0" applyAlignment="1" pivotButton="0" quotePrefix="0" xfId="0">
      <alignment horizontal="left" indent="2"/>
    </xf>
    <xf numFmtId="0" fontId="1" fillId="4" borderId="4" pivotButton="0" quotePrefix="0" xfId="3"/>
    <xf numFmtId="0" fontId="1" fillId="4" borderId="5" pivotButton="0" quotePrefix="0" xfId="3"/>
    <xf numFmtId="0" fontId="1" fillId="4" borderId="6" pivotButton="0" quotePrefix="0" xfId="3"/>
    <xf numFmtId="0" fontId="1" fillId="4" borderId="7" pivotButton="0" quotePrefix="0" xfId="3"/>
    <xf numFmtId="0" fontId="1" fillId="4" borderId="0" pivotButton="0" quotePrefix="0" xfId="3"/>
    <xf numFmtId="0" fontId="1" fillId="4" borderId="8" pivotButton="0" quotePrefix="0" xfId="3"/>
    <xf numFmtId="0" fontId="17" fillId="4" borderId="0" pivotButton="0" quotePrefix="0" xfId="0"/>
    <xf numFmtId="0" fontId="18" fillId="4" borderId="0" applyAlignment="1" pivotButton="0" quotePrefix="0" xfId="1">
      <alignment horizontal="center" vertical="center"/>
    </xf>
    <xf numFmtId="37" fontId="21" fillId="3" borderId="0" applyAlignment="1" pivotButton="0" quotePrefix="0" xfId="0">
      <alignment vertical="center"/>
    </xf>
    <xf numFmtId="37" fontId="22" fillId="3" borderId="0" applyAlignment="1" pivotButton="0" quotePrefix="0" xfId="0">
      <alignment vertical="center"/>
    </xf>
    <xf numFmtId="37" fontId="18" fillId="3" borderId="0" applyAlignment="1" pivotButton="0" quotePrefix="0" xfId="0">
      <alignment vertical="center"/>
    </xf>
    <xf numFmtId="37" fontId="4" fillId="3" borderId="0" applyAlignment="1" pivotButton="0" quotePrefix="0" xfId="0">
      <alignment vertical="center"/>
    </xf>
    <xf numFmtId="167" fontId="18" fillId="3" borderId="0" applyAlignment="1" pivotButton="0" quotePrefix="0" xfId="0">
      <alignment horizontal="right"/>
    </xf>
    <xf numFmtId="168" fontId="27" fillId="0" borderId="0" pivotButton="0" quotePrefix="0" xfId="0"/>
    <xf numFmtId="168" fontId="26" fillId="5" borderId="0" pivotButton="0" quotePrefix="0" xfId="0"/>
    <xf numFmtId="168" fontId="26" fillId="5" borderId="2" pivotButton="0" quotePrefix="0" xfId="0"/>
    <xf numFmtId="168" fontId="24" fillId="0" borderId="3" pivotButton="0" quotePrefix="0" xfId="0"/>
    <xf numFmtId="168" fontId="2" fillId="0" borderId="0" pivotButton="0" quotePrefix="0" xfId="0"/>
    <xf numFmtId="171" fontId="26" fillId="5" borderId="0" pivotButton="0" quotePrefix="0" xfId="0"/>
    <xf numFmtId="168" fontId="30" fillId="5" borderId="12" applyAlignment="1" pivotButton="0" quotePrefix="0" xfId="0">
      <alignment horizontal="center"/>
    </xf>
    <xf numFmtId="168" fontId="30" fillId="5" borderId="13" applyAlignment="1" pivotButton="0" quotePrefix="0" xfId="0">
      <alignment horizontal="center"/>
    </xf>
    <xf numFmtId="168" fontId="30" fillId="5" borderId="14" applyAlignment="1" pivotButton="0" quotePrefix="0" xfId="0">
      <alignment horizontal="center"/>
    </xf>
    <xf numFmtId="168" fontId="0" fillId="5" borderId="15" applyAlignment="1" pivotButton="0" quotePrefix="0" xfId="0">
      <alignment horizontal="center"/>
    </xf>
    <xf numFmtId="168" fontId="0" fillId="5" borderId="16" applyAlignment="1" pivotButton="0" quotePrefix="0" xfId="0">
      <alignment horizontal="center"/>
    </xf>
    <xf numFmtId="172" fontId="32" fillId="5" borderId="17" applyAlignment="1" applyProtection="1" pivotButton="0" quotePrefix="0" xfId="6">
      <alignment horizontal="center" vertical="center"/>
      <protection locked="1" hidden="1"/>
    </xf>
    <xf numFmtId="168" fontId="0" fillId="5" borderId="0" applyAlignment="1" pivotButton="0" quotePrefix="0" xfId="0">
      <alignment horizontal="center"/>
    </xf>
    <xf numFmtId="168" fontId="0" fillId="5" borderId="18" applyAlignment="1" pivotButton="0" quotePrefix="0" xfId="0">
      <alignment horizontal="center"/>
    </xf>
    <xf numFmtId="168" fontId="0" fillId="5" borderId="19" applyAlignment="1" pivotButton="0" quotePrefix="0" xfId="0">
      <alignment horizontal="center"/>
    </xf>
    <xf numFmtId="168" fontId="0" fillId="5" borderId="20" applyAlignment="1" pivotButton="0" quotePrefix="0" xfId="0">
      <alignment horizontal="center"/>
    </xf>
    <xf numFmtId="172" fontId="32" fillId="5" borderId="21" applyAlignment="1" applyProtection="1" pivotButton="0" quotePrefix="0" xfId="6">
      <alignment horizontal="center" vertical="center"/>
      <protection locked="1" hidden="1"/>
    </xf>
    <xf numFmtId="172" fontId="32" fillId="5" borderId="22" applyAlignment="1" applyProtection="1" pivotButton="0" quotePrefix="0" xfId="6">
      <alignment horizontal="center" vertical="center"/>
      <protection locked="1" hidden="1"/>
    </xf>
    <xf numFmtId="168" fontId="30" fillId="5" borderId="23" applyAlignment="1" pivotButton="0" quotePrefix="0" xfId="0">
      <alignment horizontal="center"/>
    </xf>
    <xf numFmtId="168" fontId="30" fillId="5" borderId="3" applyAlignment="1" pivotButton="0" quotePrefix="0" xfId="0">
      <alignment horizontal="center"/>
    </xf>
    <xf numFmtId="168" fontId="30" fillId="5" borderId="24" applyAlignment="1" pivotButton="0" quotePrefix="0" xfId="0">
      <alignment horizontal="center"/>
    </xf>
    <xf numFmtId="168" fontId="0" fillId="5" borderId="13" applyAlignment="1" pivotButton="0" quotePrefix="0" xfId="0">
      <alignment horizontal="center"/>
    </xf>
    <xf numFmtId="168" fontId="0" fillId="5" borderId="12" applyAlignment="1" pivotButton="0" quotePrefix="0" xfId="0">
      <alignment horizontal="center"/>
    </xf>
    <xf numFmtId="172" fontId="32" fillId="5" borderId="14" applyAlignment="1" applyProtection="1" pivotButton="0" quotePrefix="0" xfId="6">
      <alignment horizontal="center" vertical="center"/>
      <protection locked="1" hidden="1"/>
    </xf>
    <xf numFmtId="172" fontId="32" fillId="0" borderId="0" applyAlignment="1" applyProtection="1" pivotButton="0" quotePrefix="0" xfId="6">
      <alignment horizontal="center" vertical="center"/>
      <protection locked="1" hidden="1"/>
    </xf>
    <xf numFmtId="0" fontId="33" fillId="0" borderId="0" applyAlignment="1" pivotButton="0" quotePrefix="0" xfId="0">
      <alignment horizontal="right"/>
    </xf>
    <xf numFmtId="168" fontId="33" fillId="0" borderId="0" applyAlignment="1" pivotButton="0" quotePrefix="0" xfId="0">
      <alignment horizontal="right"/>
    </xf>
    <xf numFmtId="173" fontId="33" fillId="0" borderId="0" applyAlignment="1" pivotButton="0" quotePrefix="0" xfId="0">
      <alignment horizontal="right"/>
    </xf>
    <xf numFmtId="164" fontId="15" fillId="0" borderId="0" applyProtection="1" pivotButton="0" quotePrefix="0" xfId="5">
      <protection locked="0" hidden="0"/>
    </xf>
    <xf numFmtId="164" fontId="11" fillId="0" borderId="0" pivotButton="0" quotePrefix="0" xfId="3"/>
    <xf numFmtId="164" fontId="16" fillId="0" borderId="0" pivotButton="0" quotePrefix="0" xfId="1"/>
    <xf numFmtId="164" fontId="13" fillId="2" borderId="0" pivotButton="0" quotePrefix="0" xfId="3"/>
    <xf numFmtId="165" fontId="2" fillId="0" borderId="0" applyProtection="1" pivotButton="0" quotePrefix="0" xfId="4">
      <protection locked="0" hidden="0"/>
    </xf>
    <xf numFmtId="165" fontId="19" fillId="0" borderId="0" applyProtection="1" pivotButton="0" quotePrefix="0" xfId="4">
      <protection locked="0" hidden="0"/>
    </xf>
    <xf numFmtId="165" fontId="19" fillId="0" borderId="0" applyAlignment="1" applyProtection="1" pivotButton="0" quotePrefix="0" xfId="4">
      <alignment horizontal="center"/>
      <protection locked="0" hidden="0"/>
    </xf>
    <xf numFmtId="165" fontId="19" fillId="0" borderId="0" applyAlignment="1" pivotButton="0" quotePrefix="0" xfId="4">
      <alignment horizontal="right"/>
    </xf>
    <xf numFmtId="166" fontId="17" fillId="0" borderId="0" pivotButton="0" quotePrefix="0" xfId="0"/>
    <xf numFmtId="172" fontId="32" fillId="0" borderId="0" applyAlignment="1" applyProtection="1" pivotButton="0" quotePrefix="0" xfId="6">
      <alignment horizontal="center" vertical="center"/>
      <protection locked="1" hidden="1"/>
    </xf>
    <xf numFmtId="169" fontId="20" fillId="0" borderId="0" pivotButton="0" quotePrefix="0" xfId="0"/>
    <xf numFmtId="171" fontId="26" fillId="5" borderId="0" pivotButton="0" quotePrefix="0" xfId="0"/>
    <xf numFmtId="173" fontId="33" fillId="0" borderId="0" applyAlignment="1" pivotButton="0" quotePrefix="0" xfId="0">
      <alignment horizontal="right"/>
    </xf>
    <xf numFmtId="172" fontId="32" fillId="5" borderId="21" applyAlignment="1" applyProtection="1" pivotButton="0" quotePrefix="0" xfId="6">
      <alignment horizontal="center" vertical="center"/>
      <protection locked="1" hidden="1"/>
    </xf>
    <xf numFmtId="172" fontId="32" fillId="5" borderId="17" applyAlignment="1" applyProtection="1" pivotButton="0" quotePrefix="0" xfId="6">
      <alignment horizontal="center" vertical="center"/>
      <protection locked="1" hidden="1"/>
    </xf>
    <xf numFmtId="172" fontId="32" fillId="5" borderId="22" applyAlignment="1" applyProtection="1" pivotButton="0" quotePrefix="0" xfId="6">
      <alignment horizontal="center" vertical="center"/>
      <protection locked="1" hidden="1"/>
    </xf>
    <xf numFmtId="172" fontId="32" fillId="5" borderId="14" applyAlignment="1" applyProtection="1" pivotButton="0" quotePrefix="0" xfId="6">
      <alignment horizontal="center" vertical="center"/>
      <protection locked="1" hidden="1"/>
    </xf>
  </cellXfs>
  <cellStyles count="7">
    <cellStyle name="Normal" xfId="0" builtinId="0"/>
    <cellStyle name="Hyperlink 2" xfId="1"/>
    <cellStyle name="Hyperlink 2 2" xfId="2"/>
    <cellStyle name="Normal 2 2 2" xfId="3"/>
    <cellStyle name="Comma 2" xfId="4"/>
    <cellStyle name="Hyperlink" xfId="5" builtinId="8"/>
    <cellStyle name="Normal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91445</colOff>
      <row>2</row>
      <rowOff>77451</rowOff>
    </from>
    <to>
      <col>4</col>
      <colOff>703407</colOff>
      <row>7</row>
      <rowOff>82593</rowOff>
    </to>
    <pic>
      <nvPicPr>
        <cNvPr id="2" name="Picture 1">
          <a:hlinkClick r:id="rId1"/>
        </cNvPr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8945" y="567308"/>
          <a:ext cx="4104462" cy="1229785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0</row>
      <rowOff>81643</rowOff>
    </from>
    <to>
      <col>3</col>
      <colOff>29395</colOff>
      <row>0</row>
      <rowOff>617904</rowOff>
    </to>
    <pic>
      <nvPicPr>
        <cNvPr id="2" name="Picture 1">
          <a:hlinkClick r:id="rId1"/>
        </cNvPr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762000" y="81643"/>
          <a:ext cx="1852752" cy="53308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0</colOff>
      <row>0</row>
      <rowOff>81643</rowOff>
    </from>
    <to>
      <col>3</col>
      <colOff>29395</colOff>
      <row>0</row>
      <rowOff>617904</rowOff>
    </to>
    <pic>
      <nvPicPr>
        <cNvPr id="2" name="Picture 1">
          <a:hlinkClick r:id="rId1"/>
        </cNvPr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723900" y="81643"/>
          <a:ext cx="1762945" cy="53626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corporatefinanceinstitute.com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40"/>
  <sheetViews>
    <sheetView showGridLines="0" tabSelected="1" zoomScaleNormal="100" zoomScaleSheetLayoutView="100" workbookViewId="0">
      <selection activeCell="A1" sqref="A1"/>
    </sheetView>
  </sheetViews>
  <sheetFormatPr baseColWidth="8" defaultColWidth="9.140625" defaultRowHeight="19.5" customHeight="1"/>
  <cols>
    <col width="4.7109375" customWidth="1" style="13" min="1" max="1"/>
    <col width="4.85546875" customWidth="1" style="13" min="2" max="2"/>
    <col width="36.7109375" customWidth="1" style="13" min="3" max="3"/>
    <col width="10.7109375" customWidth="1" style="13" min="4" max="11"/>
    <col width="36.7109375" customWidth="1" style="13" min="12" max="12"/>
    <col width="4.85546875" customWidth="1" style="13" min="13" max="13"/>
    <col width="11" customWidth="1" style="13" min="14" max="14"/>
    <col width="9.140625" customWidth="1" style="13" min="15" max="16384"/>
  </cols>
  <sheetData>
    <row r="1" ht="19.5" customHeight="1" thickBot="1"/>
    <row r="2" ht="19.5" customHeight="1" thickTop="1">
      <c r="B2" s="53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5" t="n"/>
    </row>
    <row r="3" ht="19.5" customHeight="1">
      <c r="B3" s="56" t="n"/>
      <c r="C3" s="57" t="n"/>
      <c r="D3" s="57" t="n"/>
      <c r="E3" s="57" t="n"/>
      <c r="F3" s="57" t="n"/>
      <c r="G3" s="57" t="n"/>
      <c r="H3" s="57" t="n"/>
      <c r="I3" s="57" t="n"/>
      <c r="J3" s="57" t="n"/>
      <c r="K3" s="57" t="n"/>
      <c r="L3" s="57" t="n"/>
      <c r="M3" s="58" t="n"/>
    </row>
    <row r="4" ht="19.5" customHeight="1">
      <c r="B4" s="56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8" t="n"/>
    </row>
    <row r="5" ht="19.5" customHeight="1">
      <c r="B5" s="56" t="n"/>
      <c r="C5" s="57" t="n"/>
      <c r="D5" s="57" t="n"/>
      <c r="E5" s="57" t="n"/>
      <c r="F5" s="57" t="n"/>
      <c r="G5" s="57" t="n"/>
      <c r="H5" s="57" t="n"/>
      <c r="I5" s="57" t="n"/>
      <c r="J5" s="57" t="n"/>
      <c r="K5" s="57" t="n"/>
      <c r="L5" s="57" t="n"/>
      <c r="M5" s="58" t="n"/>
    </row>
    <row r="6" ht="19.5" customHeight="1">
      <c r="B6" s="56" t="n"/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7" t="n"/>
      <c r="M6" s="58" t="n"/>
    </row>
    <row r="7" ht="19.5" customHeight="1">
      <c r="B7" s="56" t="n"/>
      <c r="C7" s="57" t="n"/>
      <c r="D7" s="57" t="n"/>
      <c r="E7" s="57" t="n"/>
      <c r="F7" s="57" t="n"/>
      <c r="G7" s="57" t="n"/>
      <c r="H7" s="57" t="n"/>
      <c r="I7" s="57" t="n"/>
      <c r="J7" s="57" t="n"/>
      <c r="K7" s="57" t="n"/>
      <c r="L7" s="57" t="n"/>
      <c r="M7" s="58" t="n"/>
    </row>
    <row r="8" ht="19.5" customHeight="1">
      <c r="B8" s="56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8" t="n"/>
    </row>
    <row r="9" ht="19.5" customHeight="1">
      <c r="B9" s="56" t="n"/>
      <c r="C9" s="57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8" t="n"/>
    </row>
    <row r="10" ht="19.5" customHeight="1">
      <c r="B10" s="14" t="n"/>
      <c r="M10" s="15" t="n"/>
    </row>
    <row r="11" ht="28.5" customHeight="1">
      <c r="B11" s="14" t="n"/>
      <c r="C11" s="1" t="inlineStr">
        <is>
          <t>Practice Exercise - Lagos Trading - Blank</t>
        </is>
      </c>
      <c r="L11" s="2" t="inlineStr">
        <is>
          <t>Strictly Confidential</t>
        </is>
      </c>
      <c r="M11" s="15" t="n"/>
    </row>
    <row r="12" ht="19.5" customHeight="1">
      <c r="B12" s="14" t="n"/>
      <c r="C12" s="16" t="n"/>
      <c r="K12" s="3" t="n"/>
      <c r="M12" s="15" t="n"/>
    </row>
    <row r="13" ht="19.5" customHeight="1">
      <c r="B13" s="14" t="n"/>
      <c r="C13" s="4" t="inlineStr">
        <is>
          <t>Table of Contents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15" t="n"/>
    </row>
    <row r="14" ht="19.5" customHeight="1">
      <c r="B14" s="1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15" t="n"/>
    </row>
    <row r="15" ht="19.5" customHeight="1">
      <c r="B15" s="14" t="n"/>
      <c r="C15" s="94" t="inlineStr">
        <is>
          <t>Lagos Balance Sheet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15" t="n"/>
    </row>
    <row r="16" ht="19.5" customHeight="1">
      <c r="B16" s="14" t="n"/>
      <c r="C16" s="18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15" t="n"/>
    </row>
    <row r="17" ht="19.5" customHeight="1">
      <c r="B17" s="14" t="n"/>
      <c r="C17" s="18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15" t="n"/>
    </row>
    <row r="18" ht="19.5" customHeight="1">
      <c r="B18" s="14" t="n"/>
      <c r="C18" s="18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15" t="n"/>
    </row>
    <row r="19" ht="19.5" customHeight="1">
      <c r="B19" s="14" t="n"/>
      <c r="C19" s="18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15" t="n"/>
    </row>
    <row r="20" ht="19.5" customHeight="1">
      <c r="B20" s="14" t="n"/>
      <c r="C20" s="6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15" t="n"/>
    </row>
    <row r="21" ht="19.5" customHeight="1">
      <c r="B21" s="14" t="n"/>
      <c r="C21" s="6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15" t="n"/>
    </row>
    <row r="22" ht="19.5" customHeight="1">
      <c r="B22" s="14" t="n"/>
      <c r="C22" s="6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15" t="n"/>
    </row>
    <row r="23" ht="19.5" customHeight="1">
      <c r="B23" s="14" t="n"/>
      <c r="C23" s="6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15" t="n"/>
    </row>
    <row r="24" ht="19.5" customHeight="1">
      <c r="B24" s="14" t="n"/>
      <c r="C24" s="6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15" t="n"/>
    </row>
    <row r="25" ht="19.5" customHeight="1">
      <c r="B25" s="14" t="n"/>
      <c r="C25" s="6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15" t="n"/>
    </row>
    <row r="26" ht="19.5" customHeight="1">
      <c r="B26" s="14" t="n"/>
      <c r="C26" s="9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15" t="n"/>
    </row>
    <row r="27" ht="19.5" customHeight="1">
      <c r="B27" s="14" t="n"/>
      <c r="C27" s="9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15" t="n"/>
    </row>
    <row r="28" ht="19.5" customHeight="1">
      <c r="B28" s="14" t="n"/>
      <c r="C28" s="96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15" t="n"/>
    </row>
    <row r="29" ht="19.5" customHeight="1">
      <c r="B29" s="14" t="n"/>
      <c r="C29" s="8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15" t="n"/>
    </row>
    <row r="30" ht="19.5" customHeight="1">
      <c r="B30" s="14" t="n"/>
      <c r="C30" s="8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15" t="n"/>
    </row>
    <row r="31" ht="19.5" customHeight="1">
      <c r="B31" s="14" t="n"/>
      <c r="C31" s="9" t="inlineStr">
        <is>
          <t>© 2015 to 2024 CFI Education Inc.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5" t="n"/>
    </row>
    <row r="32" ht="19.5" customHeight="1">
      <c r="B32" s="14" t="n"/>
      <c r="C32" s="97" t="inlineStr">
        <is>
          <t>This Excel model is for educational purposes only and should not be used for any other reason. All content is Copyright material of CFI Education Inc.</t>
        </is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5" t="n"/>
    </row>
    <row r="33" ht="19.5" customHeight="1">
      <c r="B33" s="14" t="n"/>
      <c r="C33" s="97" t="inlineStr">
        <is>
          <t>All rights reserved.  The contents of this publication, including but not limited to all written material, content layout, images, formulas, and code, are protected</t>
        </is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5" t="n"/>
    </row>
    <row r="34" ht="19.5" customHeight="1">
      <c r="B34" s="14" t="n"/>
      <c r="C34" s="97" t="inlineStr">
        <is>
          <t>under international copyright and trademark laws.  No part of this publication may be modified, manipulated, reproduced, distributed, or transmitted in any</t>
        </is>
      </c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5" t="n"/>
    </row>
    <row r="35" ht="19.5" customHeight="1">
      <c r="B35" s="14" t="n"/>
      <c r="C35" s="97" t="inlineStr">
        <is>
          <t xml:space="preserve">form by any means, including photocopying, recording, or other electronic or mechanical methods, without prior written permission of the publisher, </t>
        </is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5" t="n"/>
    </row>
    <row r="36" ht="19.5" customHeight="1">
      <c r="B36" s="14" t="n"/>
      <c r="C36" s="97" t="inlineStr">
        <is>
          <t>except in the case of certain noncommercial uses permitted by copyright law.</t>
        </is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5" t="n"/>
    </row>
    <row r="37" ht="19.5" customHeight="1">
      <c r="B37" s="14" t="n"/>
      <c r="C37" s="97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5" t="n"/>
    </row>
    <row r="38" ht="19.5" customHeight="1">
      <c r="B38" s="14" t="n"/>
      <c r="C38" s="97" t="inlineStr">
        <is>
          <t>https://corporatefinanceinstitute.com/</t>
        </is>
      </c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5" t="n"/>
    </row>
    <row r="39" ht="19.5" customHeight="1" thickBot="1">
      <c r="B39" s="20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2" t="inlineStr">
        <is>
          <t> </t>
        </is>
      </c>
    </row>
    <row r="40" ht="19.5" customHeight="1" thickTop="1">
      <c r="N40" s="13" t="inlineStr">
        <is>
          <t> </t>
        </is>
      </c>
    </row>
  </sheetData>
  <hyperlinks>
    <hyperlink ref="C15" location="Model!A1" tooltip="Lagos Balance Sheet" display="Lagos Balance Sheet"/>
    <hyperlink xmlns:r="http://schemas.openxmlformats.org/officeDocument/2006/relationships" ref="C38" r:id="rId1"/>
  </hyperlinks>
  <printOptions horizontalCentered="1" verticalCentered="1"/>
  <pageMargins left="0.3149606299212598" right="0.3149606299212598" top="0.3149606299212598" bottom="0.3149606299212598" header="0.3149606299212598" footer="0.3149606299212598"/>
  <pageSetup orientation="landscape" scale="78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T45"/>
  <sheetViews>
    <sheetView showGridLines="0" zoomScaleNormal="100" zoomScaleSheetLayoutView="7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140625" customWidth="1" style="24" min="1" max="1"/>
    <col width="1.7109375" customWidth="1" style="24" min="2" max="2"/>
    <col width="26" bestFit="1" customWidth="1" style="24" min="3" max="3"/>
    <col width="10.7109375" customWidth="1" style="24" min="4" max="4"/>
    <col width="15.7109375" customWidth="1" style="24" min="5" max="5"/>
    <col width="11.42578125" customWidth="1" style="24" min="6" max="6"/>
    <col width="2.28515625" customWidth="1" style="24" min="7" max="8"/>
    <col width="16.140625" customWidth="1" style="24" min="9" max="9"/>
    <col width="10.28515625" customWidth="1" style="24" min="10" max="10"/>
    <col width="13.28515625" customWidth="1" style="24" min="11" max="11"/>
    <col width="10.28515625" customWidth="1" style="24" min="12" max="14"/>
    <col width="9.140625" customWidth="1" style="24" min="15" max="16384"/>
  </cols>
  <sheetData>
    <row r="1" ht="50.25" customHeight="1">
      <c r="A1" s="23" t="n"/>
      <c r="B1" s="59" t="n"/>
      <c r="C1" s="59" t="n"/>
      <c r="D1" s="59" t="n"/>
      <c r="E1" s="59" t="n"/>
      <c r="F1" s="59" t="n"/>
      <c r="G1" s="60" t="n"/>
      <c r="H1" s="60" t="n"/>
      <c r="I1" s="60" t="n"/>
      <c r="J1" s="59" t="n"/>
      <c r="K1" s="59" t="n"/>
      <c r="L1" s="59" t="n"/>
      <c r="M1" s="59" t="n"/>
      <c r="N1" s="59" t="n"/>
    </row>
    <row r="2" ht="15" customHeight="1">
      <c r="A2" s="98" t="n"/>
      <c r="B2" s="98" t="n"/>
      <c r="C2" s="98" t="n"/>
      <c r="D2" s="99" t="n"/>
      <c r="E2" s="99" t="n"/>
      <c r="F2" s="99" t="n"/>
      <c r="G2" s="100" t="n"/>
      <c r="H2" s="101" t="n"/>
      <c r="I2" s="101" t="n"/>
      <c r="J2" s="101" t="n"/>
      <c r="K2" s="101" t="n"/>
      <c r="L2" s="101" t="n"/>
      <c r="M2" s="101" t="n"/>
      <c r="N2" s="98" t="n"/>
      <c r="O2" s="29" t="n"/>
    </row>
    <row r="3" ht="15" customHeight="1">
      <c r="A3" s="98" t="inlineStr">
        <is>
          <t> </t>
        </is>
      </c>
      <c r="B3" s="61" t="inlineStr">
        <is>
          <t>Construct a Balance Sheet for Lagos Trading Inc.</t>
        </is>
      </c>
      <c r="C3" s="62" t="n"/>
      <c r="D3" s="63" t="n"/>
      <c r="E3" s="64" t="n"/>
      <c r="F3" s="64" t="n"/>
      <c r="G3" s="65" t="n"/>
      <c r="H3" s="65" t="n"/>
      <c r="I3" s="65" t="n"/>
      <c r="J3" s="65" t="n"/>
      <c r="K3" s="65" t="n"/>
      <c r="L3" s="65" t="n"/>
      <c r="M3" s="65" t="n"/>
      <c r="N3" s="65" t="n"/>
    </row>
    <row r="4" ht="15" customHeight="1">
      <c r="A4" s="30" t="n"/>
    </row>
    <row r="5" ht="15" customFormat="1" customHeight="1" s="23">
      <c r="B5" s="24" t="inlineStr">
        <is>
          <t>You have been asked to build a Balance Sheet for a company called Lagos Trading Inc. that has undertaken the following transactions</t>
        </is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</row>
    <row r="6" ht="15" customFormat="1" customHeight="1" s="23"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</row>
    <row r="7" ht="15" customHeight="1">
      <c r="A7" s="30" t="n"/>
      <c r="B7" s="24" t="inlineStr">
        <is>
          <t>1. Issued common shares of 400.</t>
        </is>
      </c>
    </row>
    <row r="8" ht="15" customHeight="1">
      <c r="A8" s="30" t="n"/>
      <c r="B8" s="24" t="inlineStr">
        <is>
          <t>2. Borrowed 200 from the bank for 5 years.</t>
        </is>
      </c>
    </row>
    <row r="9" ht="15" customHeight="1">
      <c r="A9" s="30" t="n"/>
      <c r="B9" s="24" t="inlineStr">
        <is>
          <t>3. Bought property &amp; equipment for 350 using cash.</t>
        </is>
      </c>
    </row>
    <row r="10" ht="15" customHeight="1">
      <c r="A10" s="30" t="n"/>
      <c r="B10" s="24" t="inlineStr">
        <is>
          <t>4. Bought inventory of 150 on credit.  The entire amount is still outstanding at the balance sheet date.</t>
        </is>
      </c>
    </row>
    <row r="11" ht="15" customHeight="1">
      <c r="A11" s="30" t="n"/>
      <c r="B11" s="24" t="inlineStr">
        <is>
          <t>5. Sold 50% of the inventory for 200.  50 of this had been received in cash at the balance sheet date.</t>
        </is>
      </c>
    </row>
    <row r="12" ht="15" customHeight="1">
      <c r="A12" s="30" t="n"/>
      <c r="B12" s="24" t="inlineStr">
        <is>
          <t>6. Paid a cash operating expense of 20.</t>
        </is>
      </c>
    </row>
    <row r="13" ht="15" customHeight="1">
      <c r="A13" s="30" t="n"/>
      <c r="B13" s="24" t="inlineStr">
        <is>
          <t>7. Paid the bank interest of 10 for the loan.</t>
        </is>
      </c>
    </row>
    <row r="14" ht="15" customHeight="1"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</row>
    <row r="15" ht="15" customFormat="1" customHeight="1" s="23">
      <c r="O15" s="102" t="n"/>
    </row>
    <row r="16" ht="15" customHeight="1">
      <c r="A16" s="23" t="inlineStr">
        <is>
          <t> </t>
        </is>
      </c>
      <c r="B16" s="61" t="inlineStr">
        <is>
          <t>Balance Sheet</t>
        </is>
      </c>
      <c r="C16" s="62" t="n"/>
      <c r="D16" s="63" t="n"/>
      <c r="E16" s="64" t="n"/>
      <c r="F16" s="64" t="n"/>
      <c r="G16" s="65" t="n"/>
      <c r="H16" s="65" t="n"/>
      <c r="I16" s="65" t="n"/>
      <c r="J16" s="65" t="n"/>
      <c r="K16" s="65" t="n"/>
      <c r="L16" s="65" t="n"/>
      <c r="M16" s="65" t="n"/>
      <c r="N16" s="65" t="n"/>
      <c r="O16" s="29" t="n"/>
    </row>
    <row r="17" ht="15" customHeight="1">
      <c r="A17" s="23" t="n"/>
      <c r="B17" s="33" t="n"/>
      <c r="C17" s="33" t="n"/>
      <c r="D17" s="34" t="n"/>
      <c r="E17" s="35" t="n"/>
      <c r="F17" s="35" t="n"/>
      <c r="G17" s="36" t="n"/>
      <c r="H17" s="36" t="n"/>
      <c r="I17" s="36" t="n"/>
      <c r="J17" s="36" t="n"/>
      <c r="K17" s="36" t="n"/>
      <c r="L17" s="36" t="n"/>
      <c r="M17" s="36" t="n"/>
      <c r="N17" s="36" t="n"/>
    </row>
    <row r="18" ht="15" customHeight="1">
      <c r="B18" s="37" t="inlineStr">
        <is>
          <t>ASSETS</t>
        </is>
      </c>
      <c r="G18" s="37" t="inlineStr">
        <is>
          <t>TOTAL LIABILITIES AND SHAREHOLDERS' EQUITY</t>
        </is>
      </c>
    </row>
    <row r="20" ht="15" customHeight="1">
      <c r="B20" s="38" t="inlineStr">
        <is>
          <t>Current Assets</t>
        </is>
      </c>
      <c r="G20" s="38" t="inlineStr">
        <is>
          <t>Current Liabilities</t>
        </is>
      </c>
    </row>
    <row r="21" ht="15" customHeight="1">
      <c r="B21" s="50" t="inlineStr">
        <is>
          <t>Cash</t>
        </is>
      </c>
      <c r="E21" s="67" t="n">
        <v>270</v>
      </c>
      <c r="F21" s="103">
        <f>'Model-R'!R21</f>
        <v/>
      </c>
      <c r="G21" s="50" t="inlineStr">
        <is>
          <t>Accounts Payable</t>
        </is>
      </c>
      <c r="K21" s="68" t="n">
        <v>150</v>
      </c>
      <c r="L21" s="103">
        <f>'Model-R'!V21</f>
        <v/>
      </c>
    </row>
    <row r="22" ht="15" customFormat="1" customHeight="1" s="23">
      <c r="B22" s="51" t="inlineStr">
        <is>
          <t>Accounts Receivable</t>
        </is>
      </c>
      <c r="D22" s="40" t="n"/>
      <c r="E22" s="67" t="n">
        <v>150</v>
      </c>
      <c r="F22" s="103">
        <f>'Model-R'!R22</f>
        <v/>
      </c>
      <c r="G22" s="24" t="inlineStr">
        <is>
          <t>Total  Current Liabilties</t>
        </is>
      </c>
      <c r="H22" s="104" t="n"/>
      <c r="I22" s="104" t="n"/>
      <c r="J22" s="43" t="n"/>
      <c r="K22" s="66">
        <f>SUM(K21)</f>
        <v/>
      </c>
      <c r="L22" s="43" t="n"/>
      <c r="M22" s="43" t="n"/>
      <c r="N22" s="43" t="n"/>
      <c r="O22" s="29" t="n"/>
    </row>
    <row r="23" ht="15" customFormat="1" customHeight="1" s="23">
      <c r="B23" s="51" t="inlineStr">
        <is>
          <t>Inventory</t>
        </is>
      </c>
      <c r="D23" s="40" t="n"/>
      <c r="E23" s="68" t="n">
        <v>75</v>
      </c>
      <c r="F23" s="103">
        <f>'Model-R'!R23</f>
        <v/>
      </c>
      <c r="G23" s="44" t="n"/>
      <c r="H23" s="44" t="n"/>
      <c r="I23" s="44" t="n"/>
      <c r="J23" s="43" t="n"/>
      <c r="K23" s="43" t="n"/>
      <c r="L23" s="43" t="n"/>
      <c r="M23" s="43" t="n"/>
      <c r="N23" s="43" t="n"/>
      <c r="O23" s="29" t="n"/>
    </row>
    <row r="24" ht="15" customFormat="1" customHeight="1" s="23">
      <c r="B24" s="24" t="inlineStr">
        <is>
          <t>Total Current Assets</t>
        </is>
      </c>
      <c r="C24" s="24" t="n"/>
      <c r="D24" s="24" t="n"/>
      <c r="E24" s="66">
        <f>SUM(E21:E23)</f>
        <v/>
      </c>
      <c r="F24" s="24" t="n"/>
      <c r="G24" s="38" t="inlineStr">
        <is>
          <t>Non-Current Liabilities</t>
        </is>
      </c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</row>
    <row r="25" ht="15" customFormat="1" customHeight="1" s="23">
      <c r="B25" s="24" t="n"/>
      <c r="C25" s="24" t="n"/>
      <c r="D25" s="24" t="n"/>
      <c r="E25" s="24" t="n"/>
      <c r="F25" s="24" t="n"/>
      <c r="G25" s="50" t="inlineStr">
        <is>
          <t>Long-Term Debt</t>
        </is>
      </c>
      <c r="I25" s="24" t="n"/>
      <c r="J25" s="24" t="n"/>
      <c r="K25" s="68" t="n">
        <v>200</v>
      </c>
      <c r="L25" s="103">
        <f>'Model-R'!V25</f>
        <v/>
      </c>
      <c r="M25" s="24" t="n"/>
      <c r="N25" s="24" t="n"/>
      <c r="O25" s="24" t="n"/>
      <c r="P25" s="24" t="n"/>
      <c r="Q25" s="24" t="n"/>
      <c r="R25" s="24" t="n"/>
      <c r="S25" s="24" t="n"/>
      <c r="T25" s="24" t="n"/>
    </row>
    <row r="26" ht="15" customFormat="1" customHeight="1" s="23">
      <c r="B26" s="38" t="inlineStr">
        <is>
          <t>Non-Current Assets</t>
        </is>
      </c>
      <c r="C26" s="24" t="n"/>
      <c r="D26" s="24" t="n"/>
      <c r="E26" s="24" t="n"/>
      <c r="F26" s="24" t="n"/>
      <c r="G26" s="24" t="inlineStr">
        <is>
          <t>Total Non-Current Liabilities</t>
        </is>
      </c>
      <c r="H26" s="104" t="n"/>
      <c r="I26" s="104" t="n"/>
      <c r="J26" s="43" t="n"/>
      <c r="K26" s="66">
        <f>SUM(K25)</f>
        <v/>
      </c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</row>
    <row r="27" ht="15" customFormat="1" customHeight="1" s="23">
      <c r="B27" s="50" t="inlineStr">
        <is>
          <t>Property, Plant &amp; Equipment</t>
        </is>
      </c>
      <c r="D27" s="24" t="n"/>
      <c r="E27" s="68" t="n">
        <v>350</v>
      </c>
      <c r="F27" s="103">
        <f>'Model-R'!R27</f>
        <v/>
      </c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</row>
    <row r="28" ht="15" customFormat="1" customHeight="1" s="23">
      <c r="B28" s="24" t="inlineStr">
        <is>
          <t>Total Non-Current Assets</t>
        </is>
      </c>
      <c r="C28" s="24" t="n"/>
      <c r="D28" s="24" t="n"/>
      <c r="E28" s="66">
        <f>SUM(E27)</f>
        <v/>
      </c>
      <c r="F28" s="24" t="n"/>
      <c r="G28" s="38" t="inlineStr">
        <is>
          <t>Shareholders' Equity</t>
        </is>
      </c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</row>
    <row r="29" ht="15" customFormat="1" customHeight="1" s="23">
      <c r="B29" s="24" t="n"/>
      <c r="C29" s="24" t="n"/>
      <c r="D29" s="24" t="n"/>
      <c r="E29" s="24" t="n"/>
      <c r="F29" s="24" t="n"/>
      <c r="G29" s="50" t="inlineStr">
        <is>
          <t>Common Shares</t>
        </is>
      </c>
      <c r="I29" s="24" t="n"/>
      <c r="J29" s="24" t="n"/>
      <c r="K29" s="105" t="n">
        <v>400</v>
      </c>
      <c r="L29" s="103">
        <f>'Model-R'!V29</f>
        <v/>
      </c>
      <c r="M29" s="24" t="n"/>
      <c r="N29" s="24" t="n"/>
      <c r="O29" s="24" t="n"/>
      <c r="P29" s="24" t="n"/>
      <c r="Q29" s="24" t="n"/>
      <c r="R29" s="24" t="n"/>
      <c r="S29" s="24" t="n"/>
      <c r="T29" s="24" t="n"/>
    </row>
    <row r="30" ht="15" customFormat="1" customHeight="1" s="23">
      <c r="B30" s="24" t="n"/>
      <c r="C30" s="24" t="n"/>
      <c r="D30" s="24" t="n"/>
      <c r="E30" s="24" t="n"/>
      <c r="F30" s="24" t="n"/>
      <c r="G30" s="50" t="inlineStr">
        <is>
          <t>Retained Earnings</t>
        </is>
      </c>
      <c r="I30" s="24" t="n"/>
      <c r="J30" s="24" t="n"/>
      <c r="K30" s="39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</row>
    <row r="31" ht="15" customFormat="1" customHeight="1" s="23">
      <c r="B31" s="24" t="n"/>
      <c r="C31" s="24" t="n"/>
      <c r="D31" s="24" t="n"/>
      <c r="E31" s="24" t="n"/>
      <c r="F31" s="24" t="n"/>
      <c r="G31" s="52" t="inlineStr">
        <is>
          <t>Revenue</t>
        </is>
      </c>
      <c r="H31" s="24" t="n"/>
      <c r="J31" s="24" t="n"/>
      <c r="K31" s="67" t="n">
        <v>200</v>
      </c>
      <c r="L31" s="103">
        <f>'Model-R'!V31</f>
        <v/>
      </c>
      <c r="M31" s="24" t="n"/>
      <c r="N31" s="24" t="n"/>
      <c r="O31" s="24" t="n"/>
      <c r="P31" s="24" t="n"/>
      <c r="Q31" s="24" t="n"/>
      <c r="R31" s="24" t="n"/>
      <c r="S31" s="24" t="n"/>
      <c r="T31" s="24" t="n"/>
    </row>
    <row r="32" ht="15" customFormat="1" customHeight="1" s="23">
      <c r="B32" s="24" t="n"/>
      <c r="C32" s="24" t="n"/>
      <c r="D32" s="24" t="n"/>
      <c r="E32" s="24" t="n"/>
      <c r="F32" s="24" t="n"/>
      <c r="G32" s="52" t="inlineStr">
        <is>
          <t>Cost of Sales</t>
        </is>
      </c>
      <c r="H32" s="24" t="n"/>
      <c r="J32" s="24" t="n"/>
      <c r="K32" s="67" t="n">
        <v>-75</v>
      </c>
      <c r="L32" s="103">
        <f>'Model-R'!V32</f>
        <v/>
      </c>
      <c r="M32" s="24" t="n"/>
      <c r="N32" s="24" t="n"/>
      <c r="O32" s="24" t="n"/>
      <c r="P32" s="24" t="n"/>
      <c r="Q32" s="24" t="n"/>
      <c r="R32" s="24" t="n"/>
      <c r="S32" s="24" t="n"/>
      <c r="T32" s="24" t="n"/>
    </row>
    <row r="33" ht="15" customFormat="1" customHeight="1" s="23">
      <c r="B33" s="24" t="n"/>
      <c r="C33" s="24" t="n"/>
      <c r="D33" s="24" t="n"/>
      <c r="E33" s="24" t="n"/>
      <c r="F33" s="24" t="n"/>
      <c r="G33" s="52" t="inlineStr">
        <is>
          <t>Other Operating Expenses</t>
        </is>
      </c>
      <c r="H33" s="24" t="n"/>
      <c r="J33" s="24" t="n"/>
      <c r="K33" s="67" t="n">
        <v>-20</v>
      </c>
      <c r="L33" s="103">
        <f>'Model-R'!V33</f>
        <v/>
      </c>
      <c r="M33" s="24" t="n"/>
      <c r="N33" s="24" t="n"/>
      <c r="O33" s="24" t="n"/>
      <c r="P33" s="24" t="n"/>
      <c r="Q33" s="24" t="n"/>
      <c r="R33" s="24" t="n"/>
      <c r="S33" s="24" t="n"/>
      <c r="T33" s="24" t="n"/>
    </row>
    <row r="34" ht="15" customFormat="1" customHeight="1" s="23">
      <c r="B34" s="24" t="n"/>
      <c r="C34" s="24" t="n"/>
      <c r="D34" s="24" t="n"/>
      <c r="E34" s="24" t="n"/>
      <c r="F34" s="24" t="n"/>
      <c r="G34" s="52" t="inlineStr">
        <is>
          <t>Interest Expense</t>
        </is>
      </c>
      <c r="H34" s="24" t="n"/>
      <c r="J34" s="24" t="n"/>
      <c r="K34" s="68" t="n">
        <v>-10</v>
      </c>
      <c r="L34" s="103">
        <f>'Model-R'!V34</f>
        <v/>
      </c>
      <c r="M34" s="24" t="n"/>
      <c r="N34" s="24" t="n"/>
      <c r="O34" s="24" t="n"/>
      <c r="P34" s="24" t="n"/>
      <c r="Q34" s="24" t="n"/>
      <c r="R34" s="24" t="n"/>
      <c r="S34" s="24" t="n"/>
      <c r="T34" s="24" t="n"/>
    </row>
    <row r="35" ht="15" customFormat="1" customHeight="1" s="23">
      <c r="B35" s="24" t="n"/>
      <c r="C35" s="24" t="n"/>
      <c r="D35" s="24" t="n"/>
      <c r="E35" s="24" t="n"/>
      <c r="F35" s="24" t="n"/>
      <c r="G35" s="24" t="n"/>
      <c r="H35" s="24" t="inlineStr">
        <is>
          <t>Total Retained Earnings</t>
        </is>
      </c>
      <c r="I35" s="24" t="n"/>
      <c r="J35" s="24" t="n"/>
      <c r="K35" s="45">
        <f>SUM(K31:K34)</f>
        <v/>
      </c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</row>
    <row r="36" ht="15" customFormat="1" customHeight="1" s="23">
      <c r="B36" s="24" t="n"/>
      <c r="C36" s="24" t="n"/>
      <c r="D36" s="24" t="n"/>
      <c r="E36" s="24" t="n"/>
      <c r="F36" s="24" t="n"/>
      <c r="G36" s="24" t="inlineStr">
        <is>
          <t>Total Shareholders' Equity</t>
        </is>
      </c>
      <c r="H36" s="24" t="n"/>
      <c r="I36" s="24" t="n"/>
      <c r="J36" s="24" t="n"/>
      <c r="K36" s="66">
        <f>+K29+K35</f>
        <v/>
      </c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</row>
    <row r="37" ht="15" customFormat="1" customHeight="1" s="23"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</row>
    <row r="38" ht="15" customFormat="1" customHeight="1" s="23" thickBot="1">
      <c r="B38" s="38" t="inlineStr">
        <is>
          <t>Total Assets</t>
        </is>
      </c>
      <c r="C38" s="24" t="n"/>
      <c r="D38" s="24" t="n"/>
      <c r="E38" s="69">
        <f>+E24+E28</f>
        <v/>
      </c>
      <c r="F38" s="24" t="n"/>
      <c r="G38" s="38" t="inlineStr">
        <is>
          <t>Total Liabilities &amp; Equity</t>
        </is>
      </c>
      <c r="H38" s="24" t="n"/>
      <c r="I38" s="24" t="n"/>
      <c r="J38" s="24" t="n"/>
      <c r="K38" s="69">
        <f>+K36+K26+K22</f>
        <v/>
      </c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</row>
    <row r="39" ht="15" customFormat="1" customHeight="1" s="23"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</row>
    <row r="40" ht="15" customFormat="1" customHeight="1" s="23">
      <c r="B40" s="24" t="n"/>
      <c r="C40" s="24" t="inlineStr">
        <is>
          <t>Total Assets</t>
        </is>
      </c>
      <c r="D40" s="24" t="n"/>
      <c r="E40" s="70">
        <f>+E38</f>
        <v/>
      </c>
      <c r="F40" s="24" t="n"/>
      <c r="G40" s="24" t="n"/>
      <c r="H40" s="24" t="n"/>
      <c r="I40" s="24" t="n"/>
      <c r="J40" s="24" t="n"/>
      <c r="K40" s="92">
        <f>'Model-R'!V36</f>
        <v/>
      </c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</row>
    <row r="41" ht="15" customFormat="1" customHeight="1" s="23">
      <c r="B41" s="24" t="n"/>
      <c r="C41" s="24" t="inlineStr">
        <is>
          <t>Total Liabilities &amp; Equity</t>
        </is>
      </c>
      <c r="D41" s="24" t="n"/>
      <c r="E41" s="45">
        <f>+K38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</row>
    <row r="42" ht="15" customFormat="1" customHeight="1" s="23">
      <c r="B42" s="24" t="n"/>
      <c r="C42" s="24" t="inlineStr">
        <is>
          <t>Difference</t>
        </is>
      </c>
      <c r="D42" s="24" t="n"/>
      <c r="E42" s="66">
        <f>+E40-E41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</row>
    <row r="43" ht="15" customFormat="1" customHeight="1" s="23">
      <c r="B43" s="24" t="n"/>
      <c r="C43" s="24" t="n"/>
      <c r="D43" s="24" t="n"/>
      <c r="E43" s="66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</row>
    <row r="44" ht="15" customFormat="1" customHeight="1" s="23"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106" t="inlineStr">
        <is>
          <t xml:space="preserve">For a value of zero, please enter a zero instead of leaving the cell blank. </t>
        </is>
      </c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</row>
    <row r="45" ht="15" customFormat="1" customHeight="1" s="23">
      <c r="B45" s="31" t="n"/>
      <c r="C45" s="46" t="n"/>
      <c r="D45" s="47" t="n"/>
      <c r="E45" s="48" t="n"/>
      <c r="F45" s="46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24" t="n"/>
      <c r="P45" s="24" t="n"/>
      <c r="Q45" s="24" t="n"/>
      <c r="R45" s="24" t="n"/>
      <c r="S45" s="24" t="n"/>
      <c r="T45" s="24" t="n"/>
    </row>
    <row r="46" ht="15" customFormat="1" customHeight="1" s="18"/>
    <row r="47" ht="15" customFormat="1" customHeight="1" s="18"/>
    <row r="48" ht="15" customFormat="1" customHeight="1" s="18"/>
    <row r="49" ht="15" customFormat="1" customHeight="1" s="18"/>
    <row r="50" ht="15" customFormat="1" customHeight="1" s="18"/>
    <row r="51" ht="15" customFormat="1" customHeight="1" s="18"/>
    <row r="52" ht="15" customFormat="1" customHeight="1" s="18"/>
    <row r="53" ht="15" customFormat="1" customHeight="1" s="18"/>
    <row r="54" ht="15" customFormat="1" customHeight="1" s="18"/>
    <row r="55" ht="15" customFormat="1" customHeight="1" s="18"/>
    <row r="56" ht="15" customFormat="1" customHeight="1" s="18"/>
    <row r="57" ht="15" customFormat="1" customHeight="1" s="18"/>
    <row r="58" ht="15" customFormat="1" customHeight="1" s="18"/>
    <row r="59" ht="15" customFormat="1" customHeight="1" s="18"/>
    <row r="60" ht="15" customFormat="1" customHeight="1" s="18"/>
    <row r="61" ht="15" customFormat="1" customHeight="1" s="18"/>
    <row r="62" ht="15" customFormat="1" customHeight="1" s="18"/>
    <row r="63" ht="15" customFormat="1" customHeight="1" s="18"/>
    <row r="64" ht="15" customFormat="1" customHeight="1" s="18"/>
    <row r="65" ht="15" customFormat="1" customHeight="1" s="18"/>
    <row r="66" ht="15" customFormat="1" customHeight="1" s="18"/>
    <row r="67" ht="15" customFormat="1" customHeight="1" s="18"/>
    <row r="68" ht="15" customFormat="1" customHeight="1" s="18"/>
    <row r="69" ht="15" customFormat="1" customHeight="1" s="18"/>
    <row r="70" ht="15" customFormat="1" customHeight="1" s="18"/>
    <row r="71" ht="15" customFormat="1" customHeight="1" s="18"/>
    <row r="72" ht="15" customFormat="1" customHeight="1" s="18"/>
    <row r="73" ht="15" customFormat="1" customHeight="1" s="18"/>
    <row r="74" ht="15" customFormat="1" customHeight="1" s="18"/>
    <row r="75" ht="15" customFormat="1" customHeight="1" s="18"/>
    <row r="76" ht="15" customFormat="1" customHeight="1" s="18"/>
    <row r="77" ht="15" customFormat="1" customHeight="1" s="18"/>
    <row r="78" ht="15" customFormat="1" customHeight="1" s="18"/>
    <row r="79" ht="15" customFormat="1" customHeight="1" s="18"/>
    <row r="80" ht="15" customFormat="1" customHeight="1" s="18"/>
    <row r="81" ht="15" customFormat="1" customHeight="1" s="18"/>
    <row r="82" ht="15" customFormat="1" customHeight="1" s="18"/>
    <row r="83" ht="15" customFormat="1" customHeight="1" s="18"/>
    <row r="84" ht="15" customFormat="1" customHeight="1" s="18"/>
    <row r="85" ht="15" customFormat="1" customHeight="1" s="18"/>
    <row r="86" ht="15" customFormat="1" customHeight="1" s="18"/>
    <row r="87" ht="15" customFormat="1" customHeight="1" s="18"/>
    <row r="88" ht="15" customFormat="1" customHeight="1" s="18"/>
    <row r="89" ht="15" customFormat="1" customHeight="1" s="18"/>
    <row r="90" ht="15" customFormat="1" customHeight="1" s="18"/>
    <row r="91" ht="15" customFormat="1" customHeight="1" s="18"/>
    <row r="92" ht="15" customFormat="1" customHeight="1" s="18"/>
    <row r="93" ht="15" customFormat="1" customHeight="1" s="18"/>
    <row r="94" ht="15" customFormat="1" customHeight="1" s="18"/>
    <row r="95" ht="15" customFormat="1" customHeight="1" s="18"/>
    <row r="96" ht="15" customFormat="1" customHeight="1" s="18"/>
    <row r="97" ht="15" customFormat="1" customHeight="1" s="18"/>
    <row r="98" ht="15" customFormat="1" customHeight="1" s="18"/>
    <row r="99" ht="15" customFormat="1" customHeight="1" s="18"/>
    <row r="100" ht="15" customFormat="1" customHeight="1" s="18"/>
    <row r="101" ht="15" customFormat="1" customHeight="1" s="18"/>
    <row r="102" ht="15" customFormat="1" customHeight="1" s="18"/>
    <row r="103" ht="15" customFormat="1" customHeight="1" s="18"/>
    <row r="104" ht="15" customFormat="1" customHeight="1" s="18"/>
    <row r="105" ht="15" customFormat="1" customHeight="1" s="18"/>
    <row r="106" ht="15" customFormat="1" customHeight="1" s="18"/>
    <row r="107" ht="15" customFormat="1" customHeight="1" s="18"/>
    <row r="108" ht="15" customFormat="1" customHeight="1" s="18"/>
    <row r="109" ht="15" customFormat="1" customHeight="1" s="18"/>
    <row r="110" ht="15" customFormat="1" customHeight="1" s="18"/>
    <row r="111" ht="15" customFormat="1" customHeight="1" s="18"/>
    <row r="112" ht="15" customFormat="1" customHeight="1" s="18"/>
    <row r="113" ht="15" customFormat="1" customHeight="1" s="18"/>
    <row r="114" ht="15" customFormat="1" customHeight="1" s="18"/>
    <row r="115" ht="15" customFormat="1" customHeight="1" s="18"/>
    <row r="116" ht="15" customFormat="1" customHeight="1" s="18"/>
    <row r="117" ht="15" customFormat="1" customHeight="1" s="18"/>
    <row r="118" ht="15" customFormat="1" customHeight="1" s="18"/>
  </sheetData>
  <printOptions horizontalCentered="1"/>
  <pageMargins left="0.7" right="0.7" top="0.75" bottom="0.75" header="0.3" footer="0.3"/>
  <pageSetup orientation="landscape" scale="78"/>
  <headerFooter>
    <oddHeader/>
    <oddFooter>&amp;L&amp;"Open Sans,Bold"&amp;K002060Practice Exercise - Lagos Trading&amp;C&amp;"Open Sans,Bold"&amp;K002060Page &amp;P of &amp;N&amp;R&amp;"Open Sans,Bold"&amp;K002060&amp;G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1"/>
    <outlinePr summaryBelow="1" summaryRight="1"/>
    <pageSetUpPr autoPageBreaks="0" fitToPage="1"/>
  </sheetPr>
  <dimension ref="A1:X44"/>
  <sheetViews>
    <sheetView showGridLines="0" zoomScaleNormal="100" zoomScaleSheetLayoutView="7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140625" customWidth="1" style="24" min="1" max="1"/>
    <col width="1.7109375" customWidth="1" style="24" min="2" max="2"/>
    <col width="26" bestFit="1" customWidth="1" style="24" min="3" max="3"/>
    <col width="10.7109375" customWidth="1" style="24" min="4" max="4"/>
    <col width="15.7109375" customWidth="1" style="24" min="5" max="5"/>
    <col width="11.42578125" customWidth="1" style="24" min="6" max="6"/>
    <col width="2.28515625" customWidth="1" style="24" min="7" max="8"/>
    <col width="16.140625" customWidth="1" style="24" min="9" max="9"/>
    <col width="10.28515625" customWidth="1" style="24" min="10" max="10"/>
    <col width="13.28515625" customWidth="1" style="24" min="11" max="11"/>
    <col width="10.28515625" customWidth="1" style="24" min="12" max="14"/>
    <col width="9.140625" customWidth="1" style="24" min="15" max="15"/>
    <col width="9.5703125" bestFit="1" customWidth="1" style="24" min="16" max="16"/>
    <col width="9.28515625" bestFit="1" customWidth="1" style="24" min="17" max="17"/>
    <col width="11" bestFit="1" customWidth="1" style="24" min="18" max="18"/>
    <col width="9.140625" customWidth="1" style="24" min="19" max="19"/>
    <col width="9.5703125" bestFit="1" customWidth="1" style="24" min="20" max="20"/>
    <col width="9.28515625" bestFit="1" customWidth="1" style="24" min="21" max="21"/>
    <col width="11" bestFit="1" customWidth="1" style="24" min="22" max="22"/>
    <col width="9.140625" customWidth="1" style="24" min="23" max="16384"/>
  </cols>
  <sheetData>
    <row r="1" ht="50.25" customHeight="1">
      <c r="A1" s="23" t="n"/>
      <c r="B1" s="59" t="n"/>
      <c r="C1" s="59" t="n"/>
      <c r="D1" s="59" t="n"/>
      <c r="E1" s="59" t="n"/>
      <c r="F1" s="59" t="n"/>
      <c r="G1" s="60" t="n"/>
      <c r="H1" s="60" t="n"/>
      <c r="I1" s="60" t="n"/>
      <c r="J1" s="59" t="n"/>
      <c r="K1" s="59" t="n"/>
      <c r="L1" s="59" t="n"/>
      <c r="M1" s="59" t="n"/>
      <c r="N1" s="59" t="n"/>
    </row>
    <row r="2" ht="15" customHeight="1">
      <c r="A2" s="98" t="n"/>
      <c r="B2" s="98" t="n"/>
      <c r="C2" s="98" t="n"/>
      <c r="D2" s="99" t="n"/>
      <c r="E2" s="99" t="n"/>
      <c r="F2" s="99" t="n"/>
      <c r="G2" s="100" t="n"/>
      <c r="H2" s="101" t="n"/>
      <c r="I2" s="101" t="n"/>
      <c r="J2" s="101" t="n"/>
      <c r="K2" s="101" t="n"/>
      <c r="L2" s="101" t="n"/>
      <c r="M2" s="101" t="n"/>
      <c r="N2" s="98" t="n"/>
      <c r="O2" s="29" t="n"/>
    </row>
    <row r="3" ht="15" customHeight="1">
      <c r="A3" s="98" t="inlineStr">
        <is>
          <t> </t>
        </is>
      </c>
      <c r="B3" s="61" t="inlineStr">
        <is>
          <t>Construct a Balance Sheet for Lagos Trading Inc.</t>
        </is>
      </c>
      <c r="C3" s="62" t="n"/>
      <c r="D3" s="63" t="n"/>
      <c r="E3" s="64" t="n"/>
      <c r="F3" s="64" t="n"/>
      <c r="G3" s="65" t="n"/>
      <c r="H3" s="65" t="n"/>
      <c r="I3" s="65" t="n"/>
      <c r="J3" s="65" t="n"/>
      <c r="K3" s="65" t="n"/>
      <c r="L3" s="65" t="n"/>
      <c r="M3" s="65" t="n"/>
      <c r="N3" s="65" t="n"/>
    </row>
    <row r="4" ht="15" customHeight="1">
      <c r="A4" s="30" t="n"/>
    </row>
    <row r="5" ht="15" customFormat="1" customHeight="1" s="23">
      <c r="B5" s="24" t="inlineStr">
        <is>
          <t>You have been asked to build a Balance Sheet for a company called Lagos Trading Inc. that has undertaken the following transactions</t>
        </is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</row>
    <row r="6" ht="15" customFormat="1" customHeight="1" s="23"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</row>
    <row r="7" ht="15" customHeight="1">
      <c r="A7" s="30" t="n"/>
      <c r="B7" s="24" t="inlineStr">
        <is>
          <t>1. Issued common shares of 400.</t>
        </is>
      </c>
    </row>
    <row r="8" ht="15" customHeight="1">
      <c r="A8" s="30" t="n"/>
      <c r="B8" s="24" t="inlineStr">
        <is>
          <t>2. Borrowed 200 from the bank for 5 years.</t>
        </is>
      </c>
    </row>
    <row r="9" ht="15" customHeight="1">
      <c r="A9" s="30" t="n"/>
      <c r="B9" s="24" t="inlineStr">
        <is>
          <t>3. Bought property &amp; equipment for 350 using cash.</t>
        </is>
      </c>
    </row>
    <row r="10" ht="15" customHeight="1">
      <c r="A10" s="30" t="n"/>
      <c r="B10" s="24" t="inlineStr">
        <is>
          <t>4. Bought inventory of 150 on credit.  The entire amount is still outstanding at the balance sheet date.</t>
        </is>
      </c>
    </row>
    <row r="11" ht="15" customHeight="1">
      <c r="A11" s="30" t="n"/>
      <c r="B11" s="24" t="inlineStr">
        <is>
          <t>5. Sold 50% of the inventory for 200.  50 of this had been received in cash at the balance sheet date.</t>
        </is>
      </c>
    </row>
    <row r="12" ht="15" customHeight="1">
      <c r="A12" s="30" t="n"/>
      <c r="B12" s="24" t="inlineStr">
        <is>
          <t>6. Paid a cash operating expense of 20.</t>
        </is>
      </c>
    </row>
    <row r="13" ht="15" customHeight="1">
      <c r="A13" s="30" t="n"/>
      <c r="B13" s="24" t="inlineStr">
        <is>
          <t>7. Paid the bank interest of 10 for the loan.</t>
        </is>
      </c>
    </row>
    <row r="14" ht="15" customHeight="1"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</row>
    <row r="15" ht="15" customFormat="1" customHeight="1" s="23">
      <c r="O15" s="102" t="n"/>
    </row>
    <row r="16" ht="15" customHeight="1">
      <c r="A16" s="23" t="inlineStr">
        <is>
          <t> </t>
        </is>
      </c>
      <c r="B16" s="61" t="inlineStr">
        <is>
          <t>Balance Sheet</t>
        </is>
      </c>
      <c r="C16" s="62" t="n"/>
      <c r="D16" s="63" t="n"/>
      <c r="E16" s="64" t="n"/>
      <c r="F16" s="64" t="n"/>
      <c r="G16" s="65" t="n"/>
      <c r="H16" s="65" t="n"/>
      <c r="I16" s="65" t="n"/>
      <c r="J16" s="65" t="n"/>
      <c r="K16" s="65" t="n"/>
      <c r="L16" s="65" t="n"/>
      <c r="M16" s="65" t="n"/>
      <c r="N16" s="65" t="n"/>
      <c r="O16" s="29" t="n"/>
    </row>
    <row r="17" ht="15" customHeight="1">
      <c r="A17" s="23" t="n"/>
      <c r="B17" s="33" t="n"/>
      <c r="C17" s="33" t="n"/>
      <c r="D17" s="34" t="n"/>
      <c r="E17" s="35" t="n"/>
      <c r="F17" s="35" t="n"/>
      <c r="G17" s="36" t="n"/>
      <c r="H17" s="36" t="n"/>
      <c r="I17" s="36" t="n"/>
      <c r="J17" s="36" t="n"/>
      <c r="K17" s="36" t="n"/>
      <c r="L17" s="36" t="n"/>
      <c r="M17" s="36" t="n"/>
      <c r="N17" s="36" t="n"/>
    </row>
    <row r="18" ht="15" customHeight="1">
      <c r="B18" s="37" t="inlineStr">
        <is>
          <t>ASSETS</t>
        </is>
      </c>
      <c r="G18" s="37" t="inlineStr">
        <is>
          <t>TOTAL LIABILITIES AND SHAREHOLDERS' EQUITY</t>
        </is>
      </c>
    </row>
    <row r="20" ht="15" customHeight="1" thickBot="1">
      <c r="B20" s="38" t="inlineStr">
        <is>
          <t>Current Assets</t>
        </is>
      </c>
      <c r="G20" s="38" t="inlineStr">
        <is>
          <t>Current Liabilities</t>
        </is>
      </c>
      <c r="P20" s="84" t="inlineStr">
        <is>
          <t>Learner</t>
        </is>
      </c>
      <c r="Q20" s="85" t="inlineStr">
        <is>
          <t>Correct</t>
        </is>
      </c>
      <c r="R20" s="86" t="inlineStr">
        <is>
          <t>Compare</t>
        </is>
      </c>
      <c r="T20" s="72" t="inlineStr">
        <is>
          <t>Learner</t>
        </is>
      </c>
      <c r="U20" s="73" t="inlineStr">
        <is>
          <t>Correct</t>
        </is>
      </c>
      <c r="V20" s="74" t="inlineStr">
        <is>
          <t>Compare</t>
        </is>
      </c>
    </row>
    <row r="21" ht="15" customHeight="1">
      <c r="B21" s="50" t="inlineStr">
        <is>
          <t>Cash</t>
        </is>
      </c>
      <c r="E21" s="67">
        <f>400+200-350+50-20-10</f>
        <v/>
      </c>
      <c r="G21" s="50" t="inlineStr">
        <is>
          <t>Accounts Payable</t>
        </is>
      </c>
      <c r="K21" s="68" t="n">
        <v>150</v>
      </c>
      <c r="P21" s="80">
        <f>Model!E21</f>
        <v/>
      </c>
      <c r="Q21" s="78">
        <f>E21</f>
        <v/>
      </c>
      <c r="R21" s="107">
        <f>IFERROR(IF(P21=Q21,1,0),0)</f>
        <v/>
      </c>
      <c r="T21" s="75">
        <f>Model!K21</f>
        <v/>
      </c>
      <c r="U21" s="76">
        <f>K21</f>
        <v/>
      </c>
      <c r="V21" s="108">
        <f>IFERROR(IF(T21=U21,1,0),0)</f>
        <v/>
      </c>
    </row>
    <row r="22" ht="15" customFormat="1" customHeight="1" s="23">
      <c r="B22" s="51" t="inlineStr">
        <is>
          <t>Accounts Receivable</t>
        </is>
      </c>
      <c r="D22" s="40" t="n"/>
      <c r="E22" s="67" t="n">
        <v>150</v>
      </c>
      <c r="F22" s="41" t="n"/>
      <c r="G22" s="24" t="inlineStr">
        <is>
          <t>Total  Current Liabilties</t>
        </is>
      </c>
      <c r="H22" s="104" t="n"/>
      <c r="I22" s="104" t="n"/>
      <c r="J22" s="43" t="n"/>
      <c r="K22" s="66">
        <f>SUM(K21)</f>
        <v/>
      </c>
      <c r="L22" s="43" t="n"/>
      <c r="M22" s="43" t="n"/>
      <c r="N22" s="43" t="n"/>
      <c r="O22" s="29" t="n"/>
      <c r="P22" s="80">
        <f>Model!E22</f>
        <v/>
      </c>
      <c r="Q22" s="78">
        <f>E22</f>
        <v/>
      </c>
      <c r="R22" s="107">
        <f>IFERROR(IF(P22=Q22,1,0),0)</f>
        <v/>
      </c>
    </row>
    <row r="23" ht="15" customFormat="1" customHeight="1" s="23">
      <c r="B23" s="51" t="inlineStr">
        <is>
          <t>Inventory</t>
        </is>
      </c>
      <c r="D23" s="40" t="n"/>
      <c r="E23" s="68">
        <f>150-75</f>
        <v/>
      </c>
      <c r="G23" s="44" t="n"/>
      <c r="H23" s="44" t="n"/>
      <c r="I23" s="44" t="n"/>
      <c r="J23" s="43" t="n"/>
      <c r="K23" s="43" t="n"/>
      <c r="L23" s="43" t="n"/>
      <c r="M23" s="43" t="n"/>
      <c r="N23" s="43" t="n"/>
      <c r="O23" s="29" t="n"/>
      <c r="P23" s="81">
        <f>Model!E23</f>
        <v/>
      </c>
      <c r="Q23" s="79">
        <f>E23</f>
        <v/>
      </c>
      <c r="R23" s="109">
        <f>IFERROR(IF(P23=Q23,1,0),0)</f>
        <v/>
      </c>
    </row>
    <row r="24" ht="15" customFormat="1" customHeight="1" s="23" thickBot="1">
      <c r="B24" s="24" t="inlineStr">
        <is>
          <t>Total Current Assets</t>
        </is>
      </c>
      <c r="C24" s="24" t="n"/>
      <c r="D24" s="24" t="n"/>
      <c r="E24" s="66">
        <f>SUM(E21:E23)</f>
        <v/>
      </c>
      <c r="F24" s="24" t="n"/>
      <c r="G24" s="38" t="inlineStr">
        <is>
          <t>Non-Current Liabilities</t>
        </is>
      </c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72" t="inlineStr">
        <is>
          <t>Learner</t>
        </is>
      </c>
      <c r="U24" s="73" t="inlineStr">
        <is>
          <t>Correct</t>
        </is>
      </c>
      <c r="V24" s="74" t="inlineStr">
        <is>
          <t>Compare</t>
        </is>
      </c>
    </row>
    <row r="25" ht="15" customFormat="1" customHeight="1" s="23">
      <c r="B25" s="24" t="n"/>
      <c r="C25" s="24" t="n"/>
      <c r="D25" s="24" t="n"/>
      <c r="E25" s="24" t="n"/>
      <c r="F25" s="24" t="n"/>
      <c r="G25" s="50" t="inlineStr">
        <is>
          <t>Long-Term Debt</t>
        </is>
      </c>
      <c r="I25" s="24" t="n"/>
      <c r="J25" s="24" t="n"/>
      <c r="K25" s="68" t="n">
        <v>200</v>
      </c>
      <c r="L25" s="24" t="n"/>
      <c r="M25" s="24" t="n"/>
      <c r="N25" s="24" t="n"/>
      <c r="O25" s="24" t="n"/>
      <c r="P25" s="24" t="n"/>
      <c r="Q25" s="24" t="n"/>
      <c r="R25" s="24" t="n"/>
      <c r="S25" s="24" t="n"/>
      <c r="T25" s="75">
        <f>Model!K25</f>
        <v/>
      </c>
      <c r="U25" s="76">
        <f>K25</f>
        <v/>
      </c>
      <c r="V25" s="108">
        <f>IFERROR(IF(T25=U25,1,0),0)</f>
        <v/>
      </c>
    </row>
    <row r="26" ht="15" customFormat="1" customHeight="1" s="23" thickBot="1">
      <c r="B26" s="38" t="inlineStr">
        <is>
          <t>Non-Current Assets</t>
        </is>
      </c>
      <c r="C26" s="24" t="n"/>
      <c r="D26" s="24" t="n"/>
      <c r="E26" s="24" t="n"/>
      <c r="F26" s="24" t="n"/>
      <c r="G26" s="24" t="inlineStr">
        <is>
          <t>Total Non-Current Liabilities</t>
        </is>
      </c>
      <c r="H26" s="104" t="n"/>
      <c r="I26" s="104" t="n"/>
      <c r="J26" s="43" t="n"/>
      <c r="K26" s="66">
        <f>SUM(K25)</f>
        <v/>
      </c>
      <c r="L26" s="24" t="n"/>
      <c r="M26" s="24" t="n"/>
      <c r="N26" s="24" t="n"/>
      <c r="O26" s="24" t="n"/>
      <c r="P26" s="72" t="inlineStr">
        <is>
          <t>Learner</t>
        </is>
      </c>
      <c r="Q26" s="73" t="inlineStr">
        <is>
          <t>Correct</t>
        </is>
      </c>
      <c r="R26" s="74" t="inlineStr">
        <is>
          <t>Compare</t>
        </is>
      </c>
      <c r="S26" s="24" t="n"/>
      <c r="T26" s="24" t="n"/>
    </row>
    <row r="27" ht="15" customFormat="1" customHeight="1" s="23">
      <c r="B27" s="50" t="inlineStr">
        <is>
          <t>Property, Plant &amp; Equipment</t>
        </is>
      </c>
      <c r="D27" s="24" t="n"/>
      <c r="E27" s="68" t="n">
        <v>350</v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75">
        <f>Model!E27</f>
        <v/>
      </c>
      <c r="Q27" s="76">
        <f>E27</f>
        <v/>
      </c>
      <c r="R27" s="108">
        <f>IFERROR(IF(P27=Q27,1,0),0)</f>
        <v/>
      </c>
      <c r="S27" s="24" t="n"/>
      <c r="T27" s="24" t="n"/>
    </row>
    <row r="28" ht="15" customFormat="1" customHeight="1" s="23" thickBot="1">
      <c r="B28" s="24" t="inlineStr">
        <is>
          <t>Total Non-Current Assets</t>
        </is>
      </c>
      <c r="C28" s="24" t="n"/>
      <c r="D28" s="24" t="n"/>
      <c r="E28" s="66">
        <f>SUM(E27)</f>
        <v/>
      </c>
      <c r="F28" s="24" t="n"/>
      <c r="G28" s="38" t="inlineStr">
        <is>
          <t>Shareholders' Equity</t>
        </is>
      </c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72" t="inlineStr">
        <is>
          <t>Learner</t>
        </is>
      </c>
      <c r="U28" s="73" t="inlineStr">
        <is>
          <t>Correct</t>
        </is>
      </c>
      <c r="V28" s="74" t="inlineStr">
        <is>
          <t>Compare</t>
        </is>
      </c>
    </row>
    <row r="29" ht="15" customFormat="1" customHeight="1" s="23">
      <c r="B29" s="24" t="n"/>
      <c r="C29" s="24" t="n"/>
      <c r="D29" s="24" t="n"/>
      <c r="E29" s="24" t="n"/>
      <c r="F29" s="24" t="n"/>
      <c r="G29" s="50" t="inlineStr">
        <is>
          <t>Common Shares</t>
        </is>
      </c>
      <c r="I29" s="24" t="n"/>
      <c r="J29" s="24" t="n"/>
      <c r="K29" s="105" t="n">
        <v>400</v>
      </c>
      <c r="L29" s="24" t="n"/>
      <c r="M29" s="24" t="n"/>
      <c r="N29" s="24" t="n"/>
      <c r="O29" s="24" t="n"/>
      <c r="P29" s="24" t="n"/>
      <c r="Q29" s="24" t="n"/>
      <c r="R29" s="24" t="n"/>
      <c r="S29" s="24" t="n"/>
      <c r="T29" s="75">
        <f>Model!K29</f>
        <v/>
      </c>
      <c r="U29" s="76">
        <f>K29</f>
        <v/>
      </c>
      <c r="V29" s="108">
        <f>IFERROR(IF(T29=U29,1,0),0)</f>
        <v/>
      </c>
    </row>
    <row r="30" ht="15" customFormat="1" customHeight="1" s="23">
      <c r="B30" s="24" t="n"/>
      <c r="C30" s="24" t="n"/>
      <c r="D30" s="24" t="n"/>
      <c r="E30" s="24" t="n"/>
      <c r="F30" s="24" t="n"/>
      <c r="G30" s="50" t="inlineStr">
        <is>
          <t>Retained Earnings</t>
        </is>
      </c>
      <c r="I30" s="24" t="n"/>
      <c r="J30" s="24" t="n"/>
      <c r="K30" s="39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</row>
    <row r="31" ht="15" customFormat="1" customHeight="1" s="23">
      <c r="B31" s="24" t="n"/>
      <c r="C31" s="24" t="n"/>
      <c r="D31" s="24" t="n"/>
      <c r="E31" s="24" t="n"/>
      <c r="F31" s="24" t="n"/>
      <c r="G31" s="52" t="inlineStr">
        <is>
          <t>Revenue</t>
        </is>
      </c>
      <c r="H31" s="24" t="n"/>
      <c r="J31" s="24" t="n"/>
      <c r="K31" s="67" t="n">
        <v>200</v>
      </c>
      <c r="L31" s="24" t="n"/>
      <c r="M31" s="24" t="n"/>
      <c r="N31" s="24" t="n"/>
      <c r="O31" s="24" t="n"/>
      <c r="P31" s="24" t="n"/>
      <c r="Q31" s="24" t="n"/>
      <c r="R31" s="24" t="n"/>
      <c r="S31" s="24" t="n"/>
      <c r="T31" s="88">
        <f>Model!K31</f>
        <v/>
      </c>
      <c r="U31" s="87">
        <f>K31</f>
        <v/>
      </c>
      <c r="V31" s="110">
        <f>IFERROR(IF(T31=U31,1,0),0)</f>
        <v/>
      </c>
    </row>
    <row r="32" ht="15" customFormat="1" customHeight="1" s="23">
      <c r="B32" s="24" t="n"/>
      <c r="C32" s="24" t="n"/>
      <c r="D32" s="24" t="n"/>
      <c r="E32" s="24" t="n"/>
      <c r="F32" s="24" t="n"/>
      <c r="G32" s="52" t="inlineStr">
        <is>
          <t>Cost of Sales</t>
        </is>
      </c>
      <c r="H32" s="24" t="n"/>
      <c r="J32" s="24" t="n"/>
      <c r="K32" s="67" t="n">
        <v>-75</v>
      </c>
      <c r="L32" s="24" t="n"/>
      <c r="M32" s="24" t="n"/>
      <c r="N32" s="24" t="n"/>
      <c r="O32" s="24" t="n"/>
      <c r="P32" s="24" t="n"/>
      <c r="Q32" s="24" t="n"/>
      <c r="R32" s="24" t="n"/>
      <c r="S32" s="24" t="n"/>
      <c r="T32" s="80">
        <f>Model!K32</f>
        <v/>
      </c>
      <c r="U32" s="78">
        <f>K32</f>
        <v/>
      </c>
      <c r="V32" s="107">
        <f>IFERROR(IF(T32=U32,1,0),0)</f>
        <v/>
      </c>
    </row>
    <row r="33" ht="15" customFormat="1" customHeight="1" s="23">
      <c r="B33" s="24" t="n"/>
      <c r="C33" s="24" t="n"/>
      <c r="D33" s="24" t="n"/>
      <c r="E33" s="24" t="n"/>
      <c r="F33" s="24" t="n"/>
      <c r="G33" s="52" t="inlineStr">
        <is>
          <t>Other Operating Expenses</t>
        </is>
      </c>
      <c r="H33" s="24" t="n"/>
      <c r="J33" s="24" t="n"/>
      <c r="K33" s="67" t="n">
        <v>-20</v>
      </c>
      <c r="L33" s="24" t="n"/>
      <c r="M33" s="24" t="n"/>
      <c r="N33" s="24" t="n"/>
      <c r="O33" s="24" t="n"/>
      <c r="P33" s="24" t="n"/>
      <c r="Q33" s="24" t="n"/>
      <c r="R33" s="24" t="n"/>
      <c r="S33" s="24" t="n"/>
      <c r="T33" s="80">
        <f>Model!K33</f>
        <v/>
      </c>
      <c r="U33" s="78">
        <f>K33</f>
        <v/>
      </c>
      <c r="V33" s="107">
        <f>IFERROR(IF(T33=U33,1,0),0)</f>
        <v/>
      </c>
    </row>
    <row r="34" ht="15" customFormat="1" customHeight="1" s="23">
      <c r="B34" s="24" t="n"/>
      <c r="C34" s="24" t="n"/>
      <c r="D34" s="24" t="n"/>
      <c r="E34" s="24" t="n"/>
      <c r="F34" s="24" t="n"/>
      <c r="G34" s="52" t="inlineStr">
        <is>
          <t>Interest Expense</t>
        </is>
      </c>
      <c r="H34" s="24" t="n"/>
      <c r="J34" s="24" t="n"/>
      <c r="K34" s="68" t="n">
        <v>-10</v>
      </c>
      <c r="L34" s="24" t="n"/>
      <c r="M34" s="24" t="n"/>
      <c r="N34" s="24" t="n"/>
      <c r="O34" s="24" t="n"/>
      <c r="P34" s="24" t="n"/>
      <c r="Q34" s="24" t="n"/>
      <c r="R34" s="24" t="n"/>
      <c r="S34" s="24" t="n"/>
      <c r="T34" s="81">
        <f>Model!K34</f>
        <v/>
      </c>
      <c r="U34" s="79">
        <f>K34</f>
        <v/>
      </c>
      <c r="V34" s="109">
        <f>IFERROR(IF(T34=U34,1,0),0)</f>
        <v/>
      </c>
    </row>
    <row r="35" ht="15" customFormat="1" customHeight="1" s="23">
      <c r="B35" s="24" t="n"/>
      <c r="C35" s="24" t="n"/>
      <c r="D35" s="24" t="n"/>
      <c r="E35" s="24" t="n"/>
      <c r="F35" s="24" t="n"/>
      <c r="G35" s="24" t="n"/>
      <c r="H35" s="24" t="inlineStr">
        <is>
          <t>Total Retained Earnings</t>
        </is>
      </c>
      <c r="I35" s="24" t="n"/>
      <c r="J35" s="24" t="n"/>
      <c r="K35" s="45">
        <f>SUM(K31:K34)</f>
        <v/>
      </c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</row>
    <row r="36" ht="15" customFormat="1" customHeight="1" s="23">
      <c r="B36" s="24" t="n"/>
      <c r="C36" s="24" t="n"/>
      <c r="D36" s="24" t="n"/>
      <c r="E36" s="24" t="n"/>
      <c r="F36" s="24" t="n"/>
      <c r="G36" s="24" t="inlineStr">
        <is>
          <t>Total Shareholders' Equity</t>
        </is>
      </c>
      <c r="H36" s="24" t="n"/>
      <c r="I36" s="24" t="n"/>
      <c r="J36" s="24" t="n"/>
      <c r="K36" s="66">
        <f>+K29+K35</f>
        <v/>
      </c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V36" s="91">
        <f>IF(SUM(V20:V34)+SUM(R20:R27)=11,"COMPLETE","")</f>
        <v/>
      </c>
    </row>
    <row r="37" ht="15" customFormat="1" customHeight="1" s="23"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</row>
    <row r="38" ht="15" customFormat="1" customHeight="1" s="23" thickBot="1">
      <c r="B38" s="38" t="inlineStr">
        <is>
          <t>Total Assets</t>
        </is>
      </c>
      <c r="C38" s="24" t="n"/>
      <c r="D38" s="24" t="n"/>
      <c r="E38" s="69">
        <f>+E24+E28</f>
        <v/>
      </c>
      <c r="F38" s="24" t="n"/>
      <c r="G38" s="38" t="inlineStr">
        <is>
          <t>Total Liabilities &amp; Equity</t>
        </is>
      </c>
      <c r="H38" s="24" t="n"/>
      <c r="I38" s="24" t="n"/>
      <c r="J38" s="24" t="n"/>
      <c r="K38" s="69">
        <f>+K36+K26+K22</f>
        <v/>
      </c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</row>
    <row r="39" ht="15" customFormat="1" customHeight="1" s="23"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</row>
    <row r="40" ht="15" customFormat="1" customHeight="1" s="23">
      <c r="B40" s="24" t="n"/>
      <c r="C40" s="24" t="inlineStr">
        <is>
          <t>Total Assets</t>
        </is>
      </c>
      <c r="D40" s="24" t="n"/>
      <c r="E40" s="70">
        <f>+E38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</row>
    <row r="41" ht="15" customFormat="1" customHeight="1" s="23">
      <c r="B41" s="24" t="n"/>
      <c r="C41" s="24" t="inlineStr">
        <is>
          <t>Total Liabilities &amp; Equity</t>
        </is>
      </c>
      <c r="D41" s="24" t="n"/>
      <c r="E41" s="45">
        <f>+K38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</row>
    <row r="42" ht="15" customFormat="1" customHeight="1" s="23">
      <c r="B42" s="24" t="n"/>
      <c r="C42" s="24" t="inlineStr">
        <is>
          <t>Difference</t>
        </is>
      </c>
      <c r="D42" s="24" t="n"/>
      <c r="E42" s="66">
        <f>+E40-E41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</row>
    <row r="43" ht="15" customFormat="1" customHeight="1" s="23"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</row>
    <row r="44" ht="15" customFormat="1" customHeight="1" s="23">
      <c r="B44" s="31" t="n"/>
      <c r="C44" s="46" t="n"/>
      <c r="D44" s="47" t="n"/>
      <c r="E44" s="48" t="n"/>
      <c r="F44" s="46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24" t="n"/>
      <c r="P44" s="24" t="n"/>
      <c r="Q44" s="24" t="n"/>
      <c r="R44" s="24" t="n"/>
      <c r="S44" s="24" t="n"/>
      <c r="T44" s="24" t="n"/>
    </row>
    <row r="45" ht="15" customFormat="1" customHeight="1" s="18"/>
    <row r="46" ht="15" customFormat="1" customHeight="1" s="18"/>
    <row r="47" ht="15" customFormat="1" customHeight="1" s="18"/>
    <row r="48" ht="15" customFormat="1" customHeight="1" s="18"/>
    <row r="49" ht="15" customFormat="1" customHeight="1" s="18"/>
    <row r="50" ht="15" customFormat="1" customHeight="1" s="18"/>
    <row r="51" ht="15" customFormat="1" customHeight="1" s="18"/>
    <row r="52" ht="15" customFormat="1" customHeight="1" s="18"/>
    <row r="53" ht="15" customFormat="1" customHeight="1" s="18"/>
    <row r="54" ht="15" customFormat="1" customHeight="1" s="18"/>
    <row r="55" ht="15" customFormat="1" customHeight="1" s="18"/>
    <row r="56" ht="15" customFormat="1" customHeight="1" s="18"/>
    <row r="57" ht="15" customFormat="1" customHeight="1" s="18"/>
    <row r="58" ht="15" customFormat="1" customHeight="1" s="18"/>
    <row r="59" ht="15" customFormat="1" customHeight="1" s="18"/>
    <row r="60" ht="15" customFormat="1" customHeight="1" s="18"/>
    <row r="61" ht="15" customFormat="1" customHeight="1" s="18"/>
    <row r="62" ht="15" customFormat="1" customHeight="1" s="18"/>
    <row r="63" ht="15" customFormat="1" customHeight="1" s="18"/>
    <row r="64" ht="15" customFormat="1" customHeight="1" s="18"/>
    <row r="65" ht="15" customFormat="1" customHeight="1" s="18"/>
    <row r="66" ht="15" customFormat="1" customHeight="1" s="18"/>
    <row r="67" ht="15" customFormat="1" customHeight="1" s="18"/>
    <row r="68" ht="15" customFormat="1" customHeight="1" s="18"/>
    <row r="69" ht="15" customFormat="1" customHeight="1" s="18"/>
    <row r="70" ht="15" customFormat="1" customHeight="1" s="18"/>
    <row r="71" ht="15" customFormat="1" customHeight="1" s="18"/>
    <row r="72" ht="15" customFormat="1" customHeight="1" s="18"/>
    <row r="73" ht="15" customFormat="1" customHeight="1" s="18"/>
    <row r="74" ht="15" customFormat="1" customHeight="1" s="18"/>
    <row r="75" ht="15" customFormat="1" customHeight="1" s="18"/>
    <row r="76" ht="15" customFormat="1" customHeight="1" s="18"/>
    <row r="77" ht="15" customFormat="1" customHeight="1" s="18"/>
    <row r="78" ht="15" customFormat="1" customHeight="1" s="18"/>
    <row r="79" ht="15" customFormat="1" customHeight="1" s="18"/>
    <row r="80" ht="15" customFormat="1" customHeight="1" s="18"/>
    <row r="81" ht="15" customFormat="1" customHeight="1" s="18"/>
    <row r="82" ht="15" customFormat="1" customHeight="1" s="18"/>
    <row r="83" ht="15" customFormat="1" customHeight="1" s="18"/>
    <row r="84" ht="15" customFormat="1" customHeight="1" s="18"/>
    <row r="85" ht="15" customFormat="1" customHeight="1" s="18"/>
    <row r="86" ht="15" customFormat="1" customHeight="1" s="18"/>
    <row r="87" ht="15" customFormat="1" customHeight="1" s="18"/>
    <row r="88" ht="15" customFormat="1" customHeight="1" s="18"/>
    <row r="89" ht="15" customFormat="1" customHeight="1" s="18"/>
    <row r="90" ht="15" customFormat="1" customHeight="1" s="18"/>
    <row r="91" ht="15" customFormat="1" customHeight="1" s="18"/>
    <row r="92" ht="15" customFormat="1" customHeight="1" s="18"/>
    <row r="93" ht="15" customFormat="1" customHeight="1" s="18"/>
    <row r="94" ht="15" customFormat="1" customHeight="1" s="18"/>
    <row r="95" ht="15" customFormat="1" customHeight="1" s="18"/>
    <row r="96" ht="15" customFormat="1" customHeight="1" s="18"/>
    <row r="97" ht="15" customFormat="1" customHeight="1" s="18"/>
    <row r="98" ht="15" customFormat="1" customHeight="1" s="18"/>
    <row r="99" ht="15" customFormat="1" customHeight="1" s="18"/>
    <row r="100" ht="15" customFormat="1" customHeight="1" s="18"/>
    <row r="101" ht="15" customFormat="1" customHeight="1" s="18"/>
    <row r="102" ht="15" customFormat="1" customHeight="1" s="18"/>
    <row r="103" ht="15" customFormat="1" customHeight="1" s="18"/>
    <row r="104" ht="15" customFormat="1" customHeight="1" s="18"/>
    <row r="105" ht="15" customFormat="1" customHeight="1" s="18"/>
    <row r="106" ht="15" customFormat="1" customHeight="1" s="18"/>
    <row r="107" ht="15" customFormat="1" customHeight="1" s="18"/>
    <row r="108" ht="15" customFormat="1" customHeight="1" s="18"/>
    <row r="109" ht="15" customFormat="1" customHeight="1" s="18"/>
    <row r="110" ht="15" customFormat="1" customHeight="1" s="18"/>
    <row r="111" ht="15" customFormat="1" customHeight="1" s="18"/>
    <row r="112" ht="15" customFormat="1" customHeight="1" s="18"/>
    <row r="113" ht="15" customFormat="1" customHeight="1" s="18"/>
    <row r="114" ht="15" customFormat="1" customHeight="1" s="18"/>
    <row r="115" ht="15" customFormat="1" customHeight="1" s="18"/>
    <row r="116" ht="15" customFormat="1" customHeight="1" s="18"/>
    <row r="117" ht="15" customFormat="1" customHeight="1" s="18"/>
  </sheetData>
  <printOptions horizontalCentered="1"/>
  <pageMargins left="0.7" right="0.7" top="0.75" bottom="0.75" header="0.3" footer="0.3"/>
  <pageSetup orientation="landscape" scale="78"/>
  <headerFooter>
    <oddHeader/>
    <oddFooter>&amp;L&amp;"Open Sans,Bold"&amp;K002060Practice Exercise - Lagos Trading&amp;C&amp;"Open Sans,Bold"&amp;K002060Page &amp;P of &amp;N&amp;R&amp;"Open Sans,Bold"&amp;K002060&amp;G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1899-12-30T05:00:00Z</dcterms:created>
  <dcterms:modified xsi:type="dcterms:W3CDTF">2026-01-20T14:04:01Z</dcterms:modified>
  <cp:lastModifiedBy>CFI</cp:lastModifiedBy>
  <cp:lastPrinted>1899-12-30T05:00:00Z</cp:lastPrinted>
</cp:coreProperties>
</file>